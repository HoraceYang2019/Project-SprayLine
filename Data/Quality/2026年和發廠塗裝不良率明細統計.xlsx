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7205" windowHeight="12225"/>
  </bookViews>
  <sheets>
    <sheet name="塗裝各項不良率-明細" sheetId="6" r:id="rId1"/>
    <sheet name="工作表6" sheetId="10" r:id="rId2"/>
    <sheet name="工作表2" sheetId="2" r:id="rId3"/>
  </sheets>
  <externalReferences>
    <externalReference r:id="rId4"/>
    <externalReference r:id="rId5"/>
  </externalReferences>
  <definedNames>
    <definedName name="_xlnm._FilterDatabase" localSheetId="2" hidden="1">工作表2!$A$1:$G$256</definedName>
    <definedName name="_xlnm._FilterDatabase" localSheetId="0" hidden="1">'塗裝各項不良率-明細'!$A$3:$Z$1171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61" i="6" l="1"/>
  <c r="E1161" i="6" s="1"/>
  <c r="D1158" i="6"/>
  <c r="E1158" i="6" s="1"/>
  <c r="D1165" i="6"/>
  <c r="E1165" i="6" s="1"/>
  <c r="D1168" i="6"/>
  <c r="E1168" i="6" s="1"/>
  <c r="D1162" i="6"/>
  <c r="E1162" i="6" s="1"/>
  <c r="D1157" i="6"/>
  <c r="E1157" i="6" s="1"/>
  <c r="D1159" i="6"/>
  <c r="E1159" i="6" s="1"/>
  <c r="D1163" i="6"/>
  <c r="E1163" i="6" s="1"/>
  <c r="D1164" i="6"/>
  <c r="E1164" i="6" s="1"/>
  <c r="D1169" i="6"/>
  <c r="E1169" i="6" s="1"/>
  <c r="D1167" i="6"/>
  <c r="E1167" i="6" s="1"/>
  <c r="D1171" i="6"/>
  <c r="E1171" i="6" s="1"/>
  <c r="D1170" i="6"/>
  <c r="E1170" i="6" s="1"/>
  <c r="D1160" i="6"/>
  <c r="E1160" i="6" s="1"/>
  <c r="D1166" i="6"/>
  <c r="E1166" i="6" s="1"/>
  <c r="Q1168" i="6"/>
  <c r="Q1165" i="6"/>
  <c r="Q1169" i="6"/>
  <c r="Q1167" i="6"/>
  <c r="Q1171" i="6"/>
  <c r="Q1170" i="6"/>
  <c r="Q1166" i="6"/>
  <c r="L1157" i="6"/>
  <c r="L1162" i="6"/>
  <c r="L1168" i="6"/>
  <c r="L1165" i="6"/>
  <c r="L1158" i="6"/>
  <c r="L1159" i="6"/>
  <c r="L1161" i="6"/>
  <c r="L1163" i="6"/>
  <c r="L1164" i="6"/>
  <c r="L1169" i="6"/>
  <c r="L1167" i="6"/>
  <c r="L1171" i="6"/>
  <c r="L1170" i="6"/>
  <c r="L1160" i="6"/>
  <c r="L1166" i="6"/>
  <c r="F1171" i="6" l="1"/>
  <c r="F1163" i="6"/>
  <c r="F1165" i="6"/>
  <c r="F1166" i="6"/>
  <c r="F1167" i="6"/>
  <c r="F1161" i="6"/>
  <c r="F1168" i="6"/>
  <c r="F1160" i="6"/>
  <c r="F1169" i="6"/>
  <c r="F1159" i="6"/>
  <c r="F1162" i="6"/>
  <c r="F1170" i="6"/>
  <c r="F1164" i="6"/>
  <c r="F1158" i="6"/>
  <c r="F1157" i="6"/>
  <c r="D1141" i="6"/>
  <c r="F1141" i="6" s="1"/>
  <c r="L1141" i="6"/>
  <c r="E1141" i="6" l="1"/>
  <c r="Q1135" i="6"/>
  <c r="Q1136" i="6"/>
  <c r="Q1137" i="6"/>
  <c r="Q1140" i="6"/>
  <c r="Q1154" i="6"/>
  <c r="Q1155" i="6"/>
  <c r="Q1156" i="6"/>
  <c r="D1142" i="6"/>
  <c r="E1142" i="6" s="1"/>
  <c r="D1154" i="6"/>
  <c r="E1154" i="6" s="1"/>
  <c r="D1155" i="6"/>
  <c r="E1155" i="6" s="1"/>
  <c r="D1156" i="6"/>
  <c r="E1156" i="6" s="1"/>
  <c r="D1151" i="6"/>
  <c r="E1151" i="6" s="1"/>
  <c r="D1147" i="6"/>
  <c r="E1147" i="6" s="1"/>
  <c r="D1144" i="6"/>
  <c r="E1144" i="6" s="1"/>
  <c r="D1152" i="6"/>
  <c r="E1152" i="6" s="1"/>
  <c r="D1153" i="6"/>
  <c r="E1153" i="6" s="1"/>
  <c r="D1148" i="6"/>
  <c r="E1148" i="6" s="1"/>
  <c r="D1149" i="6"/>
  <c r="E1149" i="6" s="1"/>
  <c r="D1150" i="6"/>
  <c r="E1150" i="6" s="1"/>
  <c r="D1145" i="6"/>
  <c r="E1145" i="6" s="1"/>
  <c r="D1146" i="6"/>
  <c r="E1146" i="6" s="1"/>
  <c r="D1143" i="6"/>
  <c r="E1143" i="6" s="1"/>
  <c r="L1142" i="6"/>
  <c r="L1154" i="6"/>
  <c r="L1155" i="6"/>
  <c r="L1156" i="6"/>
  <c r="L1151" i="6"/>
  <c r="L1147" i="6"/>
  <c r="L1144" i="6"/>
  <c r="L1152" i="6"/>
  <c r="L1153" i="6"/>
  <c r="L1148" i="6"/>
  <c r="L1149" i="6"/>
  <c r="L1150" i="6"/>
  <c r="L1145" i="6"/>
  <c r="L1146" i="6"/>
  <c r="L1143" i="6"/>
  <c r="F1150" i="6" l="1"/>
  <c r="F1152" i="6"/>
  <c r="F1156" i="6"/>
  <c r="F1143" i="6"/>
  <c r="F1149" i="6"/>
  <c r="F1144" i="6"/>
  <c r="F1155" i="6"/>
  <c r="F1146" i="6"/>
  <c r="F1147" i="6"/>
  <c r="F1154" i="6"/>
  <c r="F1148" i="6"/>
  <c r="F1153" i="6"/>
  <c r="F1151" i="6"/>
  <c r="F1142" i="6"/>
  <c r="F1145" i="6"/>
  <c r="D1137" i="6"/>
  <c r="E1137" i="6" s="1"/>
  <c r="D1134" i="6"/>
  <c r="E1134" i="6" s="1"/>
  <c r="D1132" i="6"/>
  <c r="E1132" i="6" s="1"/>
  <c r="D1138" i="6"/>
  <c r="E1138" i="6" s="1"/>
  <c r="D1139" i="6"/>
  <c r="E1139" i="6" s="1"/>
  <c r="D1133" i="6"/>
  <c r="E1133" i="6" s="1"/>
  <c r="D1131" i="6"/>
  <c r="E1131" i="6" s="1"/>
  <c r="D1140" i="6"/>
  <c r="E1140" i="6" s="1"/>
  <c r="D1136" i="6"/>
  <c r="E1136" i="6" s="1"/>
  <c r="D1135" i="6"/>
  <c r="E1135" i="6" s="1"/>
  <c r="L1137" i="6"/>
  <c r="L1134" i="6"/>
  <c r="L1132" i="6"/>
  <c r="L1138" i="6"/>
  <c r="L1139" i="6"/>
  <c r="L1133" i="6"/>
  <c r="L1131" i="6"/>
  <c r="L1140" i="6"/>
  <c r="L1136" i="6"/>
  <c r="L1135" i="6"/>
  <c r="F1131" i="6" l="1"/>
  <c r="F1132" i="6"/>
  <c r="F1140" i="6"/>
  <c r="F1138" i="6"/>
  <c r="F1134" i="6"/>
  <c r="F1135" i="6"/>
  <c r="F1133" i="6"/>
  <c r="F1136" i="6"/>
  <c r="F1139" i="6"/>
  <c r="F1137" i="6"/>
  <c r="Q1127" i="6"/>
  <c r="Q1128" i="6"/>
  <c r="Q1126" i="6"/>
  <c r="Q1113" i="6"/>
  <c r="Q1120" i="6"/>
  <c r="Q1118" i="6"/>
  <c r="Q1123" i="6"/>
  <c r="Q1122" i="6"/>
  <c r="Q1124" i="6"/>
  <c r="Q1125" i="6"/>
  <c r="Q1117" i="6"/>
  <c r="D1127" i="6"/>
  <c r="E1127" i="6" s="1"/>
  <c r="D1121" i="6"/>
  <c r="E1121" i="6" s="1"/>
  <c r="D1128" i="6"/>
  <c r="E1128" i="6" s="1"/>
  <c r="D1126" i="6"/>
  <c r="E1126" i="6" s="1"/>
  <c r="D1110" i="6"/>
  <c r="E1110" i="6" s="1"/>
  <c r="D1111" i="6"/>
  <c r="E1111" i="6" s="1"/>
  <c r="D1113" i="6"/>
  <c r="E1113" i="6" s="1"/>
  <c r="D1112" i="6"/>
  <c r="E1112" i="6" s="1"/>
  <c r="D1120" i="6"/>
  <c r="E1120" i="6" s="1"/>
  <c r="D1118" i="6"/>
  <c r="E1118" i="6" s="1"/>
  <c r="D1109" i="6"/>
  <c r="E1109" i="6" s="1"/>
  <c r="D1123" i="6"/>
  <c r="F1123" i="6" s="1"/>
  <c r="D1115" i="6"/>
  <c r="E1115" i="6" s="1"/>
  <c r="D1114" i="6"/>
  <c r="E1114" i="6" s="1"/>
  <c r="D1116" i="6"/>
  <c r="E1116" i="6" s="1"/>
  <c r="D1106" i="6"/>
  <c r="F1106" i="6" s="1"/>
  <c r="D1122" i="6"/>
  <c r="E1122" i="6" s="1"/>
  <c r="D1124" i="6"/>
  <c r="E1124" i="6" s="1"/>
  <c r="D1107" i="6"/>
  <c r="E1107" i="6" s="1"/>
  <c r="D1108" i="6"/>
  <c r="F1108" i="6" s="1"/>
  <c r="D1125" i="6"/>
  <c r="E1125" i="6" s="1"/>
  <c r="D1130" i="6"/>
  <c r="E1130" i="6" s="1"/>
  <c r="D1129" i="6"/>
  <c r="E1129" i="6" s="1"/>
  <c r="D1117" i="6"/>
  <c r="F1117" i="6" s="1"/>
  <c r="D1119" i="6"/>
  <c r="E1119" i="6" s="1"/>
  <c r="L1127" i="6"/>
  <c r="L1121" i="6"/>
  <c r="L1128" i="6"/>
  <c r="L1126" i="6"/>
  <c r="L1110" i="6"/>
  <c r="L1111" i="6"/>
  <c r="L1113" i="6"/>
  <c r="L1112" i="6"/>
  <c r="L1120" i="6"/>
  <c r="L1118" i="6"/>
  <c r="L1109" i="6"/>
  <c r="L1123" i="6"/>
  <c r="L1115" i="6"/>
  <c r="L1114" i="6"/>
  <c r="L1116" i="6"/>
  <c r="L1106" i="6"/>
  <c r="L1122" i="6"/>
  <c r="L1124" i="6"/>
  <c r="L1107" i="6"/>
  <c r="L1108" i="6"/>
  <c r="L1125" i="6"/>
  <c r="L1130" i="6"/>
  <c r="L1129" i="6"/>
  <c r="L1117" i="6"/>
  <c r="L1119" i="6"/>
  <c r="E1123" i="6" l="1"/>
  <c r="E1106" i="6"/>
  <c r="E1108" i="6"/>
  <c r="E1117" i="6"/>
  <c r="F1112" i="6"/>
  <c r="F1126" i="6"/>
  <c r="F1129" i="6"/>
  <c r="F1107" i="6"/>
  <c r="F1116" i="6"/>
  <c r="F1109" i="6"/>
  <c r="F1113" i="6"/>
  <c r="F1128" i="6"/>
  <c r="F1130" i="6"/>
  <c r="F1124" i="6"/>
  <c r="F1114" i="6"/>
  <c r="F1118" i="6"/>
  <c r="F1111" i="6"/>
  <c r="F1121" i="6"/>
  <c r="F1119" i="6"/>
  <c r="F1125" i="6"/>
  <c r="F1122" i="6"/>
  <c r="F1115" i="6"/>
  <c r="F1120" i="6"/>
  <c r="F1110" i="6"/>
  <c r="F1127" i="6"/>
  <c r="Q1101" i="6"/>
  <c r="Q1100" i="6"/>
  <c r="Q1103" i="6"/>
  <c r="Q1104" i="6"/>
  <c r="Q1097" i="6"/>
  <c r="Q1105" i="6"/>
  <c r="L1089" i="6"/>
  <c r="L1101" i="6"/>
  <c r="L1093" i="6"/>
  <c r="L1100" i="6"/>
  <c r="L1090" i="6"/>
  <c r="L1099" i="6"/>
  <c r="L1103" i="6"/>
  <c r="L1104" i="6"/>
  <c r="L1098" i="6"/>
  <c r="L1092" i="6"/>
  <c r="L1097" i="6"/>
  <c r="L1105" i="6"/>
  <c r="L1102" i="6"/>
  <c r="L1096" i="6"/>
  <c r="L1095" i="6"/>
  <c r="L1094" i="6"/>
  <c r="L1091" i="6"/>
  <c r="D1089" i="6"/>
  <c r="E1089" i="6" s="1"/>
  <c r="D1101" i="6"/>
  <c r="E1101" i="6" s="1"/>
  <c r="D1093" i="6"/>
  <c r="E1093" i="6" s="1"/>
  <c r="D1100" i="6"/>
  <c r="E1100" i="6" s="1"/>
  <c r="D1090" i="6"/>
  <c r="E1090" i="6" s="1"/>
  <c r="D1099" i="6"/>
  <c r="E1099" i="6" s="1"/>
  <c r="D1103" i="6"/>
  <c r="E1103" i="6" s="1"/>
  <c r="D1104" i="6"/>
  <c r="E1104" i="6" s="1"/>
  <c r="D1098" i="6"/>
  <c r="E1098" i="6" s="1"/>
  <c r="D1092" i="6"/>
  <c r="E1092" i="6" s="1"/>
  <c r="D1097" i="6"/>
  <c r="E1097" i="6" s="1"/>
  <c r="D1105" i="6"/>
  <c r="E1105" i="6" s="1"/>
  <c r="D1102" i="6"/>
  <c r="E1102" i="6" s="1"/>
  <c r="D1096" i="6"/>
  <c r="E1096" i="6" s="1"/>
  <c r="D1095" i="6"/>
  <c r="E1095" i="6" s="1"/>
  <c r="D1094" i="6"/>
  <c r="E1094" i="6" s="1"/>
  <c r="D1091" i="6"/>
  <c r="E1091" i="6" s="1"/>
  <c r="F1094" i="6" l="1"/>
  <c r="F1105" i="6"/>
  <c r="F1104" i="6"/>
  <c r="F1100" i="6"/>
  <c r="F1103" i="6"/>
  <c r="F1095" i="6"/>
  <c r="F1097" i="6"/>
  <c r="F1093" i="6"/>
  <c r="F1101" i="6"/>
  <c r="F1096" i="6"/>
  <c r="F1092" i="6"/>
  <c r="F1099" i="6"/>
  <c r="F1090" i="6"/>
  <c r="F1091" i="6"/>
  <c r="F1102" i="6"/>
  <c r="F1098" i="6"/>
  <c r="F1089" i="6"/>
  <c r="B100" i="10"/>
  <c r="C100" i="10"/>
  <c r="E100" i="10"/>
  <c r="F100" i="10"/>
  <c r="G100" i="10"/>
  <c r="B101" i="10"/>
  <c r="C101" i="10"/>
  <c r="E101" i="10"/>
  <c r="F101" i="10"/>
  <c r="G101" i="10"/>
  <c r="B102" i="10"/>
  <c r="C102" i="10"/>
  <c r="E102" i="10"/>
  <c r="F102" i="10"/>
  <c r="G102" i="10"/>
  <c r="B103" i="10"/>
  <c r="C103" i="10"/>
  <c r="E103" i="10"/>
  <c r="F103" i="10"/>
  <c r="G103" i="10"/>
  <c r="B104" i="10"/>
  <c r="C104" i="10"/>
  <c r="E104" i="10"/>
  <c r="F104" i="10"/>
  <c r="G104" i="10"/>
  <c r="B105" i="10"/>
  <c r="C105" i="10"/>
  <c r="E105" i="10"/>
  <c r="F105" i="10"/>
  <c r="G105" i="10"/>
  <c r="B106" i="10"/>
  <c r="C106" i="10"/>
  <c r="E106" i="10"/>
  <c r="F106" i="10"/>
  <c r="G106" i="10"/>
  <c r="B107" i="10"/>
  <c r="C107" i="10"/>
  <c r="E107" i="10"/>
  <c r="F107" i="10"/>
  <c r="G107" i="10"/>
  <c r="B108" i="10"/>
  <c r="C108" i="10"/>
  <c r="E108" i="10"/>
  <c r="F108" i="10"/>
  <c r="G108" i="10"/>
  <c r="B109" i="10"/>
  <c r="C109" i="10"/>
  <c r="E109" i="10"/>
  <c r="F109" i="10"/>
  <c r="G109" i="10"/>
  <c r="B110" i="10"/>
  <c r="C110" i="10"/>
  <c r="E110" i="10"/>
  <c r="F110" i="10"/>
  <c r="G110" i="10"/>
  <c r="B111" i="10"/>
  <c r="C111" i="10"/>
  <c r="E111" i="10"/>
  <c r="F111" i="10"/>
  <c r="G111" i="10"/>
  <c r="B112" i="10"/>
  <c r="C112" i="10"/>
  <c r="E112" i="10"/>
  <c r="F112" i="10"/>
  <c r="G112" i="10"/>
  <c r="B113" i="10"/>
  <c r="C113" i="10"/>
  <c r="E113" i="10"/>
  <c r="F113" i="10"/>
  <c r="G113" i="10"/>
  <c r="B114" i="10"/>
  <c r="C114" i="10"/>
  <c r="E114" i="10"/>
  <c r="F114" i="10"/>
  <c r="G114" i="10"/>
  <c r="B115" i="10"/>
  <c r="C115" i="10"/>
  <c r="E115" i="10"/>
  <c r="F115" i="10"/>
  <c r="G115" i="10"/>
  <c r="B116" i="10"/>
  <c r="C116" i="10"/>
  <c r="E116" i="10"/>
  <c r="F116" i="10"/>
  <c r="G116" i="10"/>
  <c r="B117" i="10"/>
  <c r="C117" i="10"/>
  <c r="E117" i="10"/>
  <c r="F117" i="10"/>
  <c r="G117" i="10"/>
  <c r="B118" i="10"/>
  <c r="C118" i="10"/>
  <c r="E118" i="10"/>
  <c r="F118" i="10"/>
  <c r="G118" i="10"/>
  <c r="B119" i="10"/>
  <c r="C119" i="10"/>
  <c r="E119" i="10"/>
  <c r="F119" i="10"/>
  <c r="G119" i="10"/>
  <c r="B120" i="10"/>
  <c r="C120" i="10"/>
  <c r="E120" i="10"/>
  <c r="F120" i="10"/>
  <c r="G120" i="10"/>
  <c r="B121" i="10"/>
  <c r="C121" i="10"/>
  <c r="E121" i="10"/>
  <c r="F121" i="10"/>
  <c r="G121" i="10"/>
  <c r="B122" i="10"/>
  <c r="C122" i="10"/>
  <c r="E122" i="10"/>
  <c r="F122" i="10"/>
  <c r="G122" i="10"/>
  <c r="B123" i="10"/>
  <c r="C123" i="10"/>
  <c r="E123" i="10"/>
  <c r="F123" i="10"/>
  <c r="G123" i="10"/>
  <c r="B124" i="10"/>
  <c r="C124" i="10"/>
  <c r="E124" i="10"/>
  <c r="F124" i="10"/>
  <c r="G124" i="10"/>
  <c r="B125" i="10"/>
  <c r="C125" i="10"/>
  <c r="E125" i="10"/>
  <c r="F125" i="10"/>
  <c r="G125" i="10"/>
  <c r="B126" i="10"/>
  <c r="C126" i="10"/>
  <c r="E126" i="10"/>
  <c r="F126" i="10"/>
  <c r="G126" i="10"/>
  <c r="B128" i="10"/>
  <c r="C128" i="10"/>
  <c r="E128" i="10"/>
  <c r="F128" i="10"/>
  <c r="G128" i="10"/>
  <c r="B129" i="10"/>
  <c r="C129" i="10"/>
  <c r="E129" i="10"/>
  <c r="F129" i="10"/>
  <c r="G129" i="10"/>
  <c r="B130" i="10"/>
  <c r="C130" i="10"/>
  <c r="E130" i="10"/>
  <c r="F130" i="10"/>
  <c r="G130" i="10"/>
  <c r="B131" i="10"/>
  <c r="C131" i="10"/>
  <c r="E131" i="10"/>
  <c r="F131" i="10"/>
  <c r="G131" i="10"/>
  <c r="B132" i="10"/>
  <c r="C132" i="10"/>
  <c r="E132" i="10"/>
  <c r="F132" i="10"/>
  <c r="G132" i="10"/>
  <c r="B133" i="10"/>
  <c r="C133" i="10"/>
  <c r="E133" i="10"/>
  <c r="F133" i="10"/>
  <c r="G133" i="10"/>
  <c r="B134" i="10"/>
  <c r="C134" i="10"/>
  <c r="E134" i="10"/>
  <c r="F134" i="10"/>
  <c r="G134" i="10"/>
  <c r="B135" i="10"/>
  <c r="C135" i="10"/>
  <c r="E135" i="10"/>
  <c r="F135" i="10"/>
  <c r="G135" i="10"/>
  <c r="B136" i="10"/>
  <c r="C136" i="10"/>
  <c r="E136" i="10"/>
  <c r="F136" i="10"/>
  <c r="G136" i="10"/>
  <c r="B137" i="10"/>
  <c r="C137" i="10"/>
  <c r="E137" i="10"/>
  <c r="F137" i="10"/>
  <c r="G137" i="10"/>
  <c r="B138" i="10"/>
  <c r="C138" i="10"/>
  <c r="E138" i="10"/>
  <c r="F138" i="10"/>
  <c r="G138" i="10"/>
  <c r="B139" i="10"/>
  <c r="C139" i="10"/>
  <c r="E139" i="10"/>
  <c r="F139" i="10"/>
  <c r="G139" i="10"/>
  <c r="B140" i="10"/>
  <c r="C140" i="10"/>
  <c r="E140" i="10"/>
  <c r="F140" i="10"/>
  <c r="G140" i="10"/>
  <c r="B141" i="10"/>
  <c r="C141" i="10"/>
  <c r="E141" i="10"/>
  <c r="F141" i="10"/>
  <c r="G141" i="10"/>
  <c r="B142" i="10"/>
  <c r="C142" i="10"/>
  <c r="E142" i="10"/>
  <c r="F142" i="10"/>
  <c r="G142" i="10"/>
  <c r="B143" i="10"/>
  <c r="C143" i="10"/>
  <c r="E143" i="10"/>
  <c r="F143" i="10"/>
  <c r="G143" i="10"/>
  <c r="B144" i="10"/>
  <c r="C144" i="10"/>
  <c r="E144" i="10"/>
  <c r="F144" i="10"/>
  <c r="G144" i="10"/>
  <c r="B145" i="10"/>
  <c r="C145" i="10"/>
  <c r="E145" i="10"/>
  <c r="F145" i="10"/>
  <c r="G145" i="10"/>
  <c r="B146" i="10"/>
  <c r="C146" i="10"/>
  <c r="E146" i="10"/>
  <c r="F146" i="10"/>
  <c r="G146" i="10"/>
  <c r="B147" i="10"/>
  <c r="C147" i="10"/>
  <c r="E147" i="10"/>
  <c r="F147" i="10"/>
  <c r="G147" i="10"/>
  <c r="B148" i="10"/>
  <c r="C148" i="10"/>
  <c r="E148" i="10"/>
  <c r="F148" i="10"/>
  <c r="G148" i="10"/>
  <c r="B149" i="10"/>
  <c r="C149" i="10"/>
  <c r="E149" i="10"/>
  <c r="F149" i="10"/>
  <c r="G149" i="10"/>
  <c r="B150" i="10"/>
  <c r="C150" i="10"/>
  <c r="E150" i="10"/>
  <c r="F150" i="10"/>
  <c r="G150" i="10"/>
  <c r="B151" i="10"/>
  <c r="C151" i="10"/>
  <c r="E151" i="10"/>
  <c r="F151" i="10"/>
  <c r="G151" i="10"/>
  <c r="B152" i="10"/>
  <c r="C152" i="10"/>
  <c r="E152" i="10"/>
  <c r="F152" i="10"/>
  <c r="G152" i="10"/>
  <c r="B153" i="10"/>
  <c r="C153" i="10"/>
  <c r="E153" i="10"/>
  <c r="F153" i="10"/>
  <c r="G153" i="10"/>
  <c r="B154" i="10"/>
  <c r="C154" i="10"/>
  <c r="E154" i="10"/>
  <c r="F154" i="10"/>
  <c r="G154" i="10"/>
  <c r="B155" i="10"/>
  <c r="C155" i="10"/>
  <c r="E155" i="10"/>
  <c r="F155" i="10"/>
  <c r="G155" i="10"/>
  <c r="B156" i="10"/>
  <c r="C156" i="10"/>
  <c r="E156" i="10"/>
  <c r="F156" i="10"/>
  <c r="G156" i="10"/>
  <c r="B157" i="10"/>
  <c r="C157" i="10"/>
  <c r="E157" i="10"/>
  <c r="F157" i="10"/>
  <c r="G157" i="10"/>
  <c r="B158" i="10"/>
  <c r="C158" i="10"/>
  <c r="E158" i="10"/>
  <c r="F158" i="10"/>
  <c r="G158" i="10"/>
  <c r="B159" i="10"/>
  <c r="C159" i="10"/>
  <c r="E159" i="10"/>
  <c r="F159" i="10"/>
  <c r="G159" i="10"/>
  <c r="B160" i="10"/>
  <c r="C160" i="10"/>
  <c r="E160" i="10"/>
  <c r="F160" i="10"/>
  <c r="G160" i="10"/>
  <c r="B161" i="10"/>
  <c r="C161" i="10"/>
  <c r="E161" i="10"/>
  <c r="F161" i="10"/>
  <c r="G161" i="10"/>
  <c r="B162" i="10"/>
  <c r="C162" i="10"/>
  <c r="E162" i="10"/>
  <c r="F162" i="10"/>
  <c r="G162" i="10"/>
  <c r="B163" i="10"/>
  <c r="C163" i="10"/>
  <c r="E163" i="10"/>
  <c r="F163" i="10"/>
  <c r="G163" i="10"/>
  <c r="B164" i="10"/>
  <c r="C164" i="10"/>
  <c r="E164" i="10"/>
  <c r="F164" i="10"/>
  <c r="G164" i="10"/>
  <c r="B165" i="10"/>
  <c r="C165" i="10"/>
  <c r="E165" i="10"/>
  <c r="F165" i="10"/>
  <c r="G165" i="10"/>
  <c r="B166" i="10"/>
  <c r="C166" i="10"/>
  <c r="E166" i="10"/>
  <c r="F166" i="10"/>
  <c r="G166" i="10"/>
  <c r="B167" i="10"/>
  <c r="C167" i="10"/>
  <c r="E167" i="10"/>
  <c r="F167" i="10"/>
  <c r="G167" i="10"/>
  <c r="B168" i="10"/>
  <c r="C168" i="10"/>
  <c r="E168" i="10"/>
  <c r="F168" i="10"/>
  <c r="G168" i="10"/>
  <c r="B169" i="10"/>
  <c r="C169" i="10"/>
  <c r="E169" i="10"/>
  <c r="F169" i="10"/>
  <c r="G169" i="10"/>
  <c r="B170" i="10"/>
  <c r="C170" i="10"/>
  <c r="E170" i="10"/>
  <c r="F170" i="10"/>
  <c r="G170" i="10"/>
  <c r="B171" i="10"/>
  <c r="C171" i="10"/>
  <c r="E171" i="10"/>
  <c r="F171" i="10"/>
  <c r="G171" i="10"/>
  <c r="B172" i="10"/>
  <c r="C172" i="10"/>
  <c r="E172" i="10"/>
  <c r="F172" i="10"/>
  <c r="G172" i="10"/>
  <c r="G99" i="10"/>
  <c r="F99" i="10"/>
  <c r="E99" i="10"/>
  <c r="C99" i="10"/>
  <c r="B99" i="10"/>
  <c r="G98" i="10"/>
  <c r="F98" i="10"/>
  <c r="E98" i="10"/>
  <c r="C98" i="10"/>
  <c r="B98" i="10"/>
  <c r="G97" i="10"/>
  <c r="F97" i="10"/>
  <c r="E97" i="10"/>
  <c r="C97" i="10"/>
  <c r="B97" i="10"/>
  <c r="D170" i="10" l="1"/>
  <c r="D165" i="10"/>
  <c r="D123" i="10"/>
  <c r="D125" i="10"/>
  <c r="D113" i="10"/>
  <c r="D166" i="10"/>
  <c r="D105" i="10"/>
  <c r="D109" i="10"/>
  <c r="D141" i="10"/>
  <c r="D129" i="10"/>
  <c r="D106" i="10"/>
  <c r="D128" i="10"/>
  <c r="D115" i="10"/>
  <c r="D103" i="10"/>
  <c r="D114" i="10"/>
  <c r="D117" i="10"/>
  <c r="D137" i="10"/>
  <c r="D100" i="10"/>
  <c r="D143" i="10"/>
  <c r="D167" i="10"/>
  <c r="D169" i="10"/>
  <c r="D157" i="10"/>
  <c r="D120" i="10"/>
  <c r="D171" i="10"/>
  <c r="D147" i="10"/>
  <c r="D124" i="10"/>
  <c r="D156" i="10"/>
  <c r="D119" i="10"/>
  <c r="D162" i="10"/>
  <c r="D133" i="10"/>
  <c r="D111" i="10"/>
  <c r="D104" i="10"/>
  <c r="D168" i="10"/>
  <c r="D130" i="10"/>
  <c r="D101" i="10"/>
  <c r="D163" i="10"/>
  <c r="D151" i="10"/>
  <c r="D110" i="10"/>
  <c r="D172" i="10"/>
  <c r="D139" i="10"/>
  <c r="D121" i="10"/>
  <c r="D155" i="10"/>
  <c r="D107" i="10"/>
  <c r="D148" i="10"/>
  <c r="D134" i="10"/>
  <c r="D145" i="10"/>
  <c r="D138" i="10"/>
  <c r="D131" i="10"/>
  <c r="D135" i="10"/>
  <c r="D144" i="10"/>
  <c r="D159" i="10"/>
  <c r="D152" i="10"/>
  <c r="D161" i="10"/>
  <c r="D154" i="10"/>
  <c r="D149" i="10"/>
  <c r="D158" i="10"/>
  <c r="D160" i="10"/>
  <c r="D153" i="10"/>
  <c r="D132" i="10"/>
  <c r="D108" i="10"/>
  <c r="D136" i="10"/>
  <c r="D112" i="10"/>
  <c r="D164" i="10"/>
  <c r="D140" i="10"/>
  <c r="D116" i="10"/>
  <c r="D142" i="10"/>
  <c r="D118" i="10"/>
  <c r="D146" i="10"/>
  <c r="D122" i="10"/>
  <c r="D150" i="10"/>
  <c r="D126" i="10"/>
  <c r="D102" i="10"/>
  <c r="D97" i="10"/>
  <c r="D98" i="10"/>
  <c r="D99" i="10"/>
  <c r="Q1081" i="6"/>
  <c r="Q1082" i="6"/>
  <c r="Q1086" i="6"/>
  <c r="Q1088" i="6"/>
  <c r="Q1085" i="6"/>
  <c r="Q1087" i="6"/>
  <c r="D1088" i="6"/>
  <c r="E1088" i="6" s="1"/>
  <c r="D1085" i="6"/>
  <c r="F1085" i="6" s="1"/>
  <c r="D1087" i="6"/>
  <c r="E1087" i="6" s="1"/>
  <c r="L1088" i="6"/>
  <c r="L1085" i="6"/>
  <c r="L1087" i="6"/>
  <c r="L1081" i="6"/>
  <c r="L1082" i="6"/>
  <c r="L1086" i="6"/>
  <c r="L1080" i="6"/>
  <c r="L1078" i="6"/>
  <c r="L1079" i="6"/>
  <c r="L1083" i="6"/>
  <c r="L1084" i="6"/>
  <c r="D1081" i="6"/>
  <c r="E1081" i="6" s="1"/>
  <c r="D1082" i="6"/>
  <c r="E1082" i="6" s="1"/>
  <c r="D1086" i="6"/>
  <c r="E1086" i="6" s="1"/>
  <c r="D1080" i="6"/>
  <c r="E1080" i="6" s="1"/>
  <c r="D1078" i="6"/>
  <c r="E1078" i="6" s="1"/>
  <c r="D1079" i="6"/>
  <c r="E1079" i="6" s="1"/>
  <c r="D1083" i="6"/>
  <c r="E1083" i="6" s="1"/>
  <c r="D1084" i="6"/>
  <c r="E1084" i="6" s="1"/>
  <c r="E1085" i="6" l="1"/>
  <c r="F1088" i="6"/>
  <c r="F1087" i="6"/>
  <c r="F1083" i="6"/>
  <c r="F1086" i="6"/>
  <c r="F1084" i="6"/>
  <c r="F1080" i="6"/>
  <c r="F1079" i="6"/>
  <c r="F1082" i="6"/>
  <c r="F1081" i="6"/>
  <c r="F1078" i="6"/>
  <c r="Q1072" i="6"/>
  <c r="Q1071" i="6"/>
  <c r="Q1075" i="6"/>
  <c r="Q1076" i="6"/>
  <c r="D1077" i="6"/>
  <c r="E1077" i="6" s="1"/>
  <c r="D1068" i="6"/>
  <c r="E1068" i="6" s="1"/>
  <c r="D1069" i="6"/>
  <c r="E1069" i="6" s="1"/>
  <c r="D1070" i="6"/>
  <c r="E1070" i="6" s="1"/>
  <c r="D1073" i="6"/>
  <c r="E1073" i="6" s="1"/>
  <c r="D1072" i="6"/>
  <c r="E1072" i="6" s="1"/>
  <c r="D1065" i="6"/>
  <c r="E1065" i="6" s="1"/>
  <c r="D1067" i="6"/>
  <c r="E1067" i="6" s="1"/>
  <c r="D1063" i="6"/>
  <c r="E1063" i="6" s="1"/>
  <c r="D1066" i="6"/>
  <c r="E1066" i="6" s="1"/>
  <c r="D1061" i="6"/>
  <c r="E1061" i="6" s="1"/>
  <c r="D1064" i="6"/>
  <c r="E1064" i="6" s="1"/>
  <c r="D1062" i="6"/>
  <c r="E1062" i="6" s="1"/>
  <c r="D1071" i="6"/>
  <c r="E1071" i="6" s="1"/>
  <c r="D1074" i="6"/>
  <c r="E1074" i="6" s="1"/>
  <c r="D1075" i="6"/>
  <c r="E1075" i="6" s="1"/>
  <c r="D1076" i="6"/>
  <c r="E1076" i="6" s="1"/>
  <c r="L1077" i="6"/>
  <c r="L1068" i="6"/>
  <c r="L1069" i="6"/>
  <c r="L1070" i="6"/>
  <c r="L1073" i="6"/>
  <c r="L1072" i="6"/>
  <c r="L1065" i="6"/>
  <c r="L1067" i="6"/>
  <c r="L1063" i="6"/>
  <c r="L1066" i="6"/>
  <c r="L1061" i="6"/>
  <c r="L1064" i="6"/>
  <c r="L1062" i="6"/>
  <c r="L1071" i="6"/>
  <c r="L1074" i="6"/>
  <c r="L1075" i="6"/>
  <c r="L1076" i="6"/>
  <c r="F1075" i="6" l="1"/>
  <c r="F1064" i="6"/>
  <c r="F1067" i="6"/>
  <c r="F1070" i="6"/>
  <c r="F1074" i="6"/>
  <c r="F1061" i="6"/>
  <c r="F1065" i="6"/>
  <c r="F1069" i="6"/>
  <c r="F1071" i="6"/>
  <c r="F1066" i="6"/>
  <c r="F1072" i="6"/>
  <c r="F1068" i="6"/>
  <c r="F1076" i="6"/>
  <c r="F1062" i="6"/>
  <c r="F1063" i="6"/>
  <c r="F1073" i="6"/>
  <c r="F1077" i="6"/>
  <c r="Q1057" i="6"/>
  <c r="Q1055" i="6"/>
  <c r="Q1058" i="6"/>
  <c r="Q1056" i="6"/>
  <c r="D1045" i="6"/>
  <c r="E1045" i="6" s="1"/>
  <c r="D1044" i="6"/>
  <c r="E1044" i="6" s="1"/>
  <c r="D1054" i="6"/>
  <c r="E1054" i="6" s="1"/>
  <c r="D1053" i="6"/>
  <c r="E1053" i="6" s="1"/>
  <c r="D1050" i="6"/>
  <c r="E1050" i="6" s="1"/>
  <c r="D1046" i="6"/>
  <c r="E1046" i="6" s="1"/>
  <c r="D1057" i="6"/>
  <c r="E1057" i="6" s="1"/>
  <c r="D1052" i="6"/>
  <c r="E1052" i="6" s="1"/>
  <c r="D1047" i="6"/>
  <c r="E1047" i="6" s="1"/>
  <c r="D1059" i="6"/>
  <c r="E1059" i="6" s="1"/>
  <c r="D1060" i="6"/>
  <c r="E1060" i="6" s="1"/>
  <c r="D1055" i="6"/>
  <c r="E1055" i="6" s="1"/>
  <c r="D1058" i="6"/>
  <c r="E1058" i="6" s="1"/>
  <c r="D1056" i="6"/>
  <c r="E1056" i="6" s="1"/>
  <c r="D1049" i="6"/>
  <c r="E1049" i="6" s="1"/>
  <c r="D1051" i="6"/>
  <c r="E1051" i="6" s="1"/>
  <c r="D1048" i="6"/>
  <c r="E1048" i="6" s="1"/>
  <c r="L1044" i="6"/>
  <c r="L1054" i="6"/>
  <c r="L1053" i="6"/>
  <c r="L1050" i="6"/>
  <c r="L1046" i="6"/>
  <c r="L1057" i="6"/>
  <c r="L1052" i="6"/>
  <c r="L1047" i="6"/>
  <c r="L1059" i="6"/>
  <c r="L1060" i="6"/>
  <c r="L1055" i="6"/>
  <c r="L1058" i="6"/>
  <c r="L1056" i="6"/>
  <c r="L1045" i="6"/>
  <c r="L1049" i="6"/>
  <c r="L1051" i="6"/>
  <c r="L1048" i="6"/>
  <c r="F1051" i="6" l="1"/>
  <c r="F1058" i="6"/>
  <c r="F1047" i="6"/>
  <c r="F1050" i="6"/>
  <c r="F1049" i="6"/>
  <c r="F1055" i="6"/>
  <c r="F1052" i="6"/>
  <c r="F1053" i="6"/>
  <c r="F1045" i="6"/>
  <c r="F1060" i="6"/>
  <c r="F1057" i="6"/>
  <c r="F1054" i="6"/>
  <c r="F1048" i="6"/>
  <c r="F1056" i="6"/>
  <c r="F1059" i="6"/>
  <c r="F1046" i="6"/>
  <c r="F1044" i="6"/>
  <c r="Q1039" i="6"/>
  <c r="Q1040" i="6"/>
  <c r="Q1043" i="6"/>
  <c r="Q1042" i="6"/>
  <c r="Q1041" i="6"/>
  <c r="L1041" i="6"/>
  <c r="D1041" i="6"/>
  <c r="E1041" i="6" s="1"/>
  <c r="D1034" i="6"/>
  <c r="E1034" i="6" s="1"/>
  <c r="D1039" i="6"/>
  <c r="F1039" i="6" s="1"/>
  <c r="D1040" i="6"/>
  <c r="E1040" i="6" s="1"/>
  <c r="D1043" i="6"/>
  <c r="E1043" i="6" s="1"/>
  <c r="D1036" i="6"/>
  <c r="E1036" i="6" s="1"/>
  <c r="D1035" i="6"/>
  <c r="F1035" i="6" s="1"/>
  <c r="D1042" i="6"/>
  <c r="E1042" i="6" s="1"/>
  <c r="D1037" i="6"/>
  <c r="E1037" i="6" s="1"/>
  <c r="D1038" i="6"/>
  <c r="E1038" i="6" s="1"/>
  <c r="L1034" i="6"/>
  <c r="L1039" i="6"/>
  <c r="L1040" i="6"/>
  <c r="L1043" i="6"/>
  <c r="L1036" i="6"/>
  <c r="L1035" i="6"/>
  <c r="L1042" i="6"/>
  <c r="L1037" i="6"/>
  <c r="L1038" i="6"/>
  <c r="E1035" i="6" l="1"/>
  <c r="F1043" i="6"/>
  <c r="F1037" i="6"/>
  <c r="E1039" i="6"/>
  <c r="F1042" i="6"/>
  <c r="F1040" i="6"/>
  <c r="F1041" i="6"/>
  <c r="F1036" i="6"/>
  <c r="F1038" i="6"/>
  <c r="F1034" i="6"/>
  <c r="Q1032" i="6"/>
  <c r="Q1031" i="6"/>
  <c r="Q1027" i="6"/>
  <c r="Q1024" i="6"/>
  <c r="Q1023" i="6"/>
  <c r="Q1022" i="6"/>
  <c r="Q1012" i="6"/>
  <c r="Q1011" i="6"/>
  <c r="Q1008" i="6"/>
  <c r="Q1000" i="6"/>
  <c r="L1016" i="6" l="1"/>
  <c r="L1014" i="6"/>
  <c r="L1015" i="6"/>
  <c r="L1022" i="6"/>
  <c r="L1032" i="6"/>
  <c r="L1019" i="6"/>
  <c r="L1020" i="6"/>
  <c r="L1021" i="6"/>
  <c r="L1018" i="6"/>
  <c r="L1017" i="6"/>
  <c r="L1026" i="6"/>
  <c r="L1025" i="6"/>
  <c r="L1023" i="6"/>
  <c r="L1024" i="6"/>
  <c r="L1031" i="6"/>
  <c r="L1029" i="6"/>
  <c r="L1027" i="6"/>
  <c r="L1030" i="6"/>
  <c r="L1028" i="6"/>
  <c r="L1033" i="6"/>
  <c r="D1016" i="6"/>
  <c r="E1016" i="6" s="1"/>
  <c r="D1014" i="6"/>
  <c r="E1014" i="6" s="1"/>
  <c r="D1015" i="6"/>
  <c r="E1015" i="6" s="1"/>
  <c r="D1022" i="6"/>
  <c r="F1022" i="6" s="1"/>
  <c r="D1032" i="6"/>
  <c r="E1032" i="6" s="1"/>
  <c r="D1019" i="6"/>
  <c r="E1019" i="6" s="1"/>
  <c r="D1020" i="6"/>
  <c r="F1020" i="6" s="1"/>
  <c r="D1021" i="6"/>
  <c r="F1021" i="6" s="1"/>
  <c r="D1018" i="6"/>
  <c r="E1018" i="6" s="1"/>
  <c r="D1017" i="6"/>
  <c r="E1017" i="6" s="1"/>
  <c r="D1026" i="6"/>
  <c r="F1026" i="6" s="1"/>
  <c r="D1025" i="6"/>
  <c r="F1025" i="6" s="1"/>
  <c r="D1023" i="6"/>
  <c r="E1023" i="6" s="1"/>
  <c r="D1024" i="6"/>
  <c r="E1024" i="6" s="1"/>
  <c r="D1031" i="6"/>
  <c r="E1031" i="6" s="1"/>
  <c r="F1031" i="6"/>
  <c r="D1029" i="6"/>
  <c r="F1029" i="6" s="1"/>
  <c r="D1027" i="6"/>
  <c r="E1027" i="6" s="1"/>
  <c r="D1030" i="6"/>
  <c r="E1030" i="6" s="1"/>
  <c r="D1028" i="6"/>
  <c r="E1028" i="6" s="1"/>
  <c r="D1033" i="6"/>
  <c r="F1033" i="6" s="1"/>
  <c r="E1033" i="6" l="1"/>
  <c r="F1028" i="6"/>
  <c r="E1029" i="6"/>
  <c r="E1025" i="6"/>
  <c r="E1021" i="6"/>
  <c r="E1022" i="6"/>
  <c r="F1015" i="6"/>
  <c r="E1026" i="6"/>
  <c r="E1020" i="6"/>
  <c r="F1030" i="6"/>
  <c r="F1024" i="6"/>
  <c r="F1017" i="6"/>
  <c r="F1019" i="6"/>
  <c r="F1014" i="6"/>
  <c r="F1027" i="6"/>
  <c r="F1018" i="6"/>
  <c r="F1016" i="6"/>
  <c r="F1023" i="6"/>
  <c r="F1032" i="6"/>
  <c r="D1000" i="6"/>
  <c r="E1000" i="6" s="1"/>
  <c r="D1001" i="6"/>
  <c r="E1001" i="6" s="1"/>
  <c r="D1002" i="6"/>
  <c r="E1002" i="6" s="1"/>
  <c r="D1003" i="6"/>
  <c r="E1003" i="6" s="1"/>
  <c r="D1004" i="6"/>
  <c r="E1004" i="6" s="1"/>
  <c r="D1005" i="6"/>
  <c r="F1005" i="6" s="1"/>
  <c r="D1006" i="6"/>
  <c r="F1006" i="6" s="1"/>
  <c r="D1007" i="6"/>
  <c r="F1007" i="6" s="1"/>
  <c r="D1008" i="6"/>
  <c r="F1008" i="6" s="1"/>
  <c r="D1009" i="6"/>
  <c r="E1009" i="6" s="1"/>
  <c r="D1010" i="6"/>
  <c r="F1010" i="6" s="1"/>
  <c r="D1011" i="6"/>
  <c r="E1011" i="6" s="1"/>
  <c r="D1012" i="6"/>
  <c r="F1012" i="6" s="1"/>
  <c r="D1013" i="6"/>
  <c r="F1013" i="6" s="1"/>
  <c r="L1000" i="6"/>
  <c r="L1001" i="6"/>
  <c r="L1002" i="6"/>
  <c r="L1003" i="6"/>
  <c r="L1004" i="6"/>
  <c r="L1005" i="6"/>
  <c r="L1006" i="6"/>
  <c r="L1007" i="6"/>
  <c r="L1008" i="6"/>
  <c r="L1009" i="6"/>
  <c r="L1010" i="6"/>
  <c r="L1011" i="6"/>
  <c r="L1012" i="6"/>
  <c r="L1013" i="6"/>
  <c r="E1010" i="6" l="1"/>
  <c r="E1012" i="6"/>
  <c r="E1005" i="6"/>
  <c r="E1008" i="6"/>
  <c r="E1013" i="6"/>
  <c r="F1002" i="6"/>
  <c r="E1006" i="6"/>
  <c r="E1007" i="6"/>
  <c r="F1004" i="6"/>
  <c r="F1001" i="6"/>
  <c r="F1009" i="6"/>
  <c r="F1003" i="6"/>
  <c r="F1011" i="6"/>
  <c r="F1000" i="6"/>
  <c r="D994" i="6"/>
  <c r="E994" i="6" s="1"/>
  <c r="D997" i="6"/>
  <c r="E997" i="6" s="1"/>
  <c r="D999" i="6"/>
  <c r="E999" i="6" s="1"/>
  <c r="Q996" i="6"/>
  <c r="Q997" i="6"/>
  <c r="D996" i="6"/>
  <c r="E996" i="6" s="1"/>
  <c r="D998" i="6"/>
  <c r="E998" i="6" s="1"/>
  <c r="D995" i="6"/>
  <c r="E995" i="6" s="1"/>
  <c r="L996" i="6"/>
  <c r="L998" i="6"/>
  <c r="L994" i="6"/>
  <c r="L997" i="6"/>
  <c r="L999" i="6"/>
  <c r="L995" i="6"/>
  <c r="F997" i="6" l="1"/>
  <c r="F994" i="6"/>
  <c r="F995" i="6"/>
  <c r="F998" i="6"/>
  <c r="F999" i="6"/>
  <c r="F996" i="6"/>
  <c r="L986" i="6"/>
  <c r="L993" i="6"/>
  <c r="L987" i="6"/>
  <c r="L983" i="6"/>
  <c r="L988" i="6"/>
  <c r="L980" i="6"/>
  <c r="L990" i="6"/>
  <c r="L979" i="6"/>
  <c r="L992" i="6"/>
  <c r="L981" i="6"/>
  <c r="L984" i="6"/>
  <c r="L985" i="6"/>
  <c r="L982" i="6"/>
  <c r="L989" i="6"/>
  <c r="L991" i="6"/>
  <c r="D986" i="6"/>
  <c r="E986" i="6" s="1"/>
  <c r="D993" i="6"/>
  <c r="E993" i="6" s="1"/>
  <c r="D987" i="6"/>
  <c r="E987" i="6" s="1"/>
  <c r="D983" i="6"/>
  <c r="E983" i="6" s="1"/>
  <c r="D988" i="6"/>
  <c r="E988" i="6" s="1"/>
  <c r="D980" i="6"/>
  <c r="E980" i="6" s="1"/>
  <c r="D990" i="6"/>
  <c r="E990" i="6" s="1"/>
  <c r="D979" i="6"/>
  <c r="E979" i="6" s="1"/>
  <c r="D992" i="6"/>
  <c r="E992" i="6" s="1"/>
  <c r="D981" i="6"/>
  <c r="E981" i="6" s="1"/>
  <c r="D984" i="6"/>
  <c r="E984" i="6" s="1"/>
  <c r="D985" i="6"/>
  <c r="F985" i="6" s="1"/>
  <c r="D982" i="6"/>
  <c r="E982" i="6" s="1"/>
  <c r="D989" i="6"/>
  <c r="E989" i="6" s="1"/>
  <c r="D991" i="6"/>
  <c r="E991" i="6" s="1"/>
  <c r="Q986" i="6"/>
  <c r="Q993" i="6"/>
  <c r="Q987" i="6"/>
  <c r="Q988" i="6"/>
  <c r="Q992" i="6"/>
  <c r="Q989" i="6"/>
  <c r="F983" i="6" l="1"/>
  <c r="F979" i="6"/>
  <c r="F991" i="6"/>
  <c r="F984" i="6"/>
  <c r="F990" i="6"/>
  <c r="F987" i="6"/>
  <c r="F993" i="6"/>
  <c r="F989" i="6"/>
  <c r="F981" i="6"/>
  <c r="F980" i="6"/>
  <c r="E985" i="6"/>
  <c r="F986" i="6"/>
  <c r="F982" i="6"/>
  <c r="F992" i="6"/>
  <c r="F988" i="6"/>
  <c r="L971" i="6" l="1"/>
  <c r="L965" i="6"/>
  <c r="L969" i="6"/>
  <c r="L968" i="6"/>
  <c r="L972" i="6"/>
  <c r="L977" i="6"/>
  <c r="L970" i="6"/>
  <c r="L967" i="6"/>
  <c r="L975" i="6"/>
  <c r="L973" i="6"/>
  <c r="L966" i="6"/>
  <c r="L963" i="6"/>
  <c r="L978" i="6"/>
  <c r="L974" i="6"/>
  <c r="L960" i="6"/>
  <c r="L976" i="6"/>
  <c r="L964" i="6"/>
  <c r="L962" i="6"/>
  <c r="L961" i="6"/>
  <c r="L959" i="6"/>
  <c r="L958" i="6"/>
  <c r="D971" i="6"/>
  <c r="E971" i="6" s="1"/>
  <c r="D965" i="6"/>
  <c r="F965" i="6" s="1"/>
  <c r="D969" i="6"/>
  <c r="E969" i="6" s="1"/>
  <c r="D968" i="6"/>
  <c r="F968" i="6" s="1"/>
  <c r="D972" i="6"/>
  <c r="E972" i="6" s="1"/>
  <c r="D977" i="6"/>
  <c r="F977" i="6" s="1"/>
  <c r="D970" i="6"/>
  <c r="E970" i="6" s="1"/>
  <c r="D967" i="6"/>
  <c r="F967" i="6" s="1"/>
  <c r="D975" i="6"/>
  <c r="E975" i="6" s="1"/>
  <c r="D973" i="6"/>
  <c r="F973" i="6" s="1"/>
  <c r="D966" i="6"/>
  <c r="E966" i="6" s="1"/>
  <c r="D963" i="6"/>
  <c r="F963" i="6" s="1"/>
  <c r="D978" i="6"/>
  <c r="E978" i="6" s="1"/>
  <c r="D974" i="6"/>
  <c r="F974" i="6" s="1"/>
  <c r="D960" i="6"/>
  <c r="E960" i="6" s="1"/>
  <c r="D976" i="6"/>
  <c r="F976" i="6" s="1"/>
  <c r="D964" i="6"/>
  <c r="E964" i="6" s="1"/>
  <c r="D962" i="6"/>
  <c r="F962" i="6" s="1"/>
  <c r="D961" i="6"/>
  <c r="E961" i="6" s="1"/>
  <c r="D959" i="6"/>
  <c r="F959" i="6" s="1"/>
  <c r="D958" i="6"/>
  <c r="E958" i="6" s="1"/>
  <c r="Q965" i="6"/>
  <c r="Q972" i="6"/>
  <c r="Q977" i="6"/>
  <c r="Q967" i="6"/>
  <c r="Q975" i="6"/>
  <c r="Q973" i="6"/>
  <c r="Q966" i="6"/>
  <c r="Q978" i="6"/>
  <c r="Q974" i="6"/>
  <c r="Q976" i="6"/>
  <c r="E962" i="6" l="1"/>
  <c r="E976" i="6"/>
  <c r="E974" i="6"/>
  <c r="E959" i="6"/>
  <c r="E963" i="6"/>
  <c r="E967" i="6"/>
  <c r="E977" i="6"/>
  <c r="E968" i="6"/>
  <c r="E973" i="6"/>
  <c r="E965" i="6"/>
  <c r="F961" i="6"/>
  <c r="F960" i="6"/>
  <c r="F966" i="6"/>
  <c r="F970" i="6"/>
  <c r="F969" i="6"/>
  <c r="F958" i="6"/>
  <c r="F964" i="6"/>
  <c r="F978" i="6"/>
  <c r="F975" i="6"/>
  <c r="F972" i="6"/>
  <c r="F971" i="6"/>
  <c r="Q954" i="6"/>
  <c r="Q955" i="6"/>
  <c r="Q956" i="6"/>
  <c r="L953" i="6"/>
  <c r="L954" i="6"/>
  <c r="L955" i="6"/>
  <c r="L957" i="6"/>
  <c r="L956" i="6"/>
  <c r="D953" i="6"/>
  <c r="E953" i="6" s="1"/>
  <c r="D954" i="6"/>
  <c r="E954" i="6" s="1"/>
  <c r="D955" i="6"/>
  <c r="E955" i="6" s="1"/>
  <c r="D957" i="6"/>
  <c r="E957" i="6" s="1"/>
  <c r="D956" i="6"/>
  <c r="E956" i="6" s="1"/>
  <c r="F957" i="6" l="1"/>
  <c r="F955" i="6"/>
  <c r="F954" i="6"/>
  <c r="F953" i="6"/>
  <c r="F956" i="6"/>
  <c r="Q933" i="6"/>
  <c r="Q934" i="6"/>
  <c r="Q938" i="6"/>
  <c r="Q939" i="6"/>
  <c r="Q940" i="6"/>
  <c r="Q941" i="6"/>
  <c r="Q942" i="6"/>
  <c r="Q943" i="6"/>
  <c r="Q951" i="6"/>
  <c r="Q946" i="6"/>
  <c r="Q952" i="6"/>
  <c r="Q949" i="6"/>
  <c r="D951" i="6"/>
  <c r="E951" i="6" s="1"/>
  <c r="D946" i="6"/>
  <c r="E946" i="6" s="1"/>
  <c r="D952" i="6"/>
  <c r="E952" i="6" s="1"/>
  <c r="D945" i="6"/>
  <c r="E945" i="6" s="1"/>
  <c r="D947" i="6"/>
  <c r="E947" i="6" s="1"/>
  <c r="D944" i="6"/>
  <c r="F944" i="6" s="1"/>
  <c r="D950" i="6"/>
  <c r="E950" i="6" s="1"/>
  <c r="D949" i="6"/>
  <c r="F949" i="6" s="1"/>
  <c r="D948" i="6"/>
  <c r="E948" i="6" s="1"/>
  <c r="L951" i="6"/>
  <c r="L946" i="6"/>
  <c r="L952" i="6"/>
  <c r="L945" i="6"/>
  <c r="L947" i="6"/>
  <c r="L944" i="6"/>
  <c r="L950" i="6"/>
  <c r="L949" i="6"/>
  <c r="L948" i="6"/>
  <c r="F945" i="6" l="1"/>
  <c r="E949" i="6"/>
  <c r="F950" i="6"/>
  <c r="F952" i="6"/>
  <c r="F946" i="6"/>
  <c r="E944" i="6"/>
  <c r="F948" i="6"/>
  <c r="F947" i="6"/>
  <c r="F951" i="6"/>
  <c r="L938" i="6"/>
  <c r="L932" i="6"/>
  <c r="L941" i="6"/>
  <c r="L935" i="6"/>
  <c r="L942" i="6"/>
  <c r="L943" i="6"/>
  <c r="L933" i="6"/>
  <c r="L939" i="6"/>
  <c r="L934" i="6"/>
  <c r="L936" i="6"/>
  <c r="L940" i="6"/>
  <c r="L937" i="6"/>
  <c r="D938" i="6"/>
  <c r="E938" i="6" s="1"/>
  <c r="D932" i="6"/>
  <c r="E932" i="6" s="1"/>
  <c r="D941" i="6"/>
  <c r="E941" i="6" s="1"/>
  <c r="D935" i="6"/>
  <c r="E935" i="6" s="1"/>
  <c r="D942" i="6"/>
  <c r="E942" i="6" s="1"/>
  <c r="D943" i="6"/>
  <c r="E943" i="6" s="1"/>
  <c r="D933" i="6"/>
  <c r="E933" i="6" s="1"/>
  <c r="D939" i="6"/>
  <c r="E939" i="6" s="1"/>
  <c r="D934" i="6"/>
  <c r="E934" i="6" s="1"/>
  <c r="D936" i="6"/>
  <c r="E936" i="6" s="1"/>
  <c r="D940" i="6"/>
  <c r="E940" i="6" s="1"/>
  <c r="D937" i="6"/>
  <c r="E937" i="6" s="1"/>
  <c r="F937" i="6" l="1"/>
  <c r="F939" i="6"/>
  <c r="F935" i="6"/>
  <c r="F940" i="6"/>
  <c r="F933" i="6"/>
  <c r="F941" i="6"/>
  <c r="F936" i="6"/>
  <c r="F943" i="6"/>
  <c r="F932" i="6"/>
  <c r="F934" i="6"/>
  <c r="F938" i="6"/>
  <c r="F942" i="6"/>
  <c r="Q928" i="6"/>
  <c r="Q930" i="6"/>
  <c r="Q931" i="6"/>
  <c r="L928" i="6"/>
  <c r="L920" i="6"/>
  <c r="L923" i="6"/>
  <c r="L921" i="6"/>
  <c r="L922" i="6"/>
  <c r="L930" i="6"/>
  <c r="L927" i="6"/>
  <c r="L931" i="6"/>
  <c r="L925" i="6"/>
  <c r="L929" i="6"/>
  <c r="L926" i="6"/>
  <c r="L918" i="6"/>
  <c r="L919" i="6"/>
  <c r="L917" i="6"/>
  <c r="L924" i="6"/>
  <c r="L916" i="6"/>
  <c r="D928" i="6"/>
  <c r="F928" i="6" s="1"/>
  <c r="D920" i="6"/>
  <c r="E920" i="6" s="1"/>
  <c r="D923" i="6"/>
  <c r="E923" i="6" s="1"/>
  <c r="D921" i="6"/>
  <c r="E921" i="6" s="1"/>
  <c r="D922" i="6"/>
  <c r="E922" i="6" s="1"/>
  <c r="D930" i="6"/>
  <c r="E930" i="6" s="1"/>
  <c r="D927" i="6"/>
  <c r="F927" i="6" s="1"/>
  <c r="D931" i="6"/>
  <c r="F931" i="6" s="1"/>
  <c r="D925" i="6"/>
  <c r="F925" i="6" s="1"/>
  <c r="D929" i="6"/>
  <c r="E929" i="6" s="1"/>
  <c r="D926" i="6"/>
  <c r="E926" i="6" s="1"/>
  <c r="D918" i="6"/>
  <c r="E918" i="6" s="1"/>
  <c r="D919" i="6"/>
  <c r="E919" i="6" s="1"/>
  <c r="D917" i="6"/>
  <c r="E917" i="6" s="1"/>
  <c r="D924" i="6"/>
  <c r="E924" i="6" s="1"/>
  <c r="D916" i="6"/>
  <c r="F916" i="6" s="1"/>
  <c r="E925" i="6" l="1"/>
  <c r="E916" i="6"/>
  <c r="F920" i="6"/>
  <c r="F919" i="6"/>
  <c r="E927" i="6"/>
  <c r="F917" i="6"/>
  <c r="F929" i="6"/>
  <c r="F930" i="6"/>
  <c r="F924" i="6"/>
  <c r="E931" i="6"/>
  <c r="F922" i="6"/>
  <c r="E928" i="6"/>
  <c r="F926" i="6"/>
  <c r="F923" i="6"/>
  <c r="F921" i="6"/>
  <c r="F918" i="6"/>
  <c r="Q914" i="6"/>
  <c r="Q915" i="6"/>
  <c r="L905" i="6"/>
  <c r="L910" i="6"/>
  <c r="L906" i="6"/>
  <c r="L914" i="6"/>
  <c r="L907" i="6"/>
  <c r="L915" i="6"/>
  <c r="L911" i="6"/>
  <c r="L912" i="6"/>
  <c r="L909" i="6"/>
  <c r="L908" i="6"/>
  <c r="L913" i="6"/>
  <c r="D905" i="6"/>
  <c r="E905" i="6" s="1"/>
  <c r="D910" i="6"/>
  <c r="E910" i="6" s="1"/>
  <c r="D906" i="6"/>
  <c r="E906" i="6" s="1"/>
  <c r="D914" i="6"/>
  <c r="E914" i="6" s="1"/>
  <c r="D907" i="6"/>
  <c r="E907" i="6" s="1"/>
  <c r="D915" i="6"/>
  <c r="E915" i="6" s="1"/>
  <c r="D911" i="6"/>
  <c r="E911" i="6" s="1"/>
  <c r="D912" i="6"/>
  <c r="E912" i="6" s="1"/>
  <c r="D909" i="6"/>
  <c r="E909" i="6" s="1"/>
  <c r="D908" i="6"/>
  <c r="E908" i="6" s="1"/>
  <c r="D913" i="6"/>
  <c r="E913" i="6" s="1"/>
  <c r="F912" i="6" l="1"/>
  <c r="F914" i="6"/>
  <c r="F913" i="6"/>
  <c r="F911" i="6"/>
  <c r="F906" i="6"/>
  <c r="F915" i="6"/>
  <c r="F910" i="6"/>
  <c r="F908" i="6"/>
  <c r="F909" i="6"/>
  <c r="F907" i="6"/>
  <c r="F905" i="6"/>
  <c r="D900" i="6"/>
  <c r="E900" i="6" s="1"/>
  <c r="D896" i="6"/>
  <c r="E896" i="6" s="1"/>
  <c r="D901" i="6"/>
  <c r="E901" i="6" s="1"/>
  <c r="D904" i="6"/>
  <c r="E904" i="6" s="1"/>
  <c r="D899" i="6"/>
  <c r="E899" i="6" s="1"/>
  <c r="D903" i="6"/>
  <c r="E903" i="6" s="1"/>
  <c r="D898" i="6"/>
  <c r="F898" i="6" s="1"/>
  <c r="D897" i="6"/>
  <c r="E897" i="6" s="1"/>
  <c r="D902" i="6"/>
  <c r="E902" i="6" s="1"/>
  <c r="Q900" i="6"/>
  <c r="Q901" i="6"/>
  <c r="Q903" i="6"/>
  <c r="Q902" i="6"/>
  <c r="L900" i="6"/>
  <c r="L896" i="6"/>
  <c r="L901" i="6"/>
  <c r="L904" i="6"/>
  <c r="L899" i="6"/>
  <c r="L903" i="6"/>
  <c r="L898" i="6"/>
  <c r="L897" i="6"/>
  <c r="L902" i="6"/>
  <c r="F902" i="6" l="1"/>
  <c r="E898" i="6"/>
  <c r="F899" i="6"/>
  <c r="F900" i="6"/>
  <c r="F897" i="6"/>
  <c r="F904" i="6"/>
  <c r="F901" i="6"/>
  <c r="F903" i="6"/>
  <c r="F896" i="6"/>
  <c r="Q885" i="6"/>
  <c r="Q887" i="6"/>
  <c r="Q888" i="6"/>
  <c r="Q891" i="6"/>
  <c r="Q894" i="6"/>
  <c r="Q895" i="6"/>
  <c r="Q889" i="6"/>
  <c r="Q893" i="6"/>
  <c r="L885" i="6"/>
  <c r="L892" i="6"/>
  <c r="L887" i="6"/>
  <c r="L888" i="6"/>
  <c r="L886" i="6"/>
  <c r="L880" i="6"/>
  <c r="L881" i="6"/>
  <c r="L879" i="6"/>
  <c r="L884" i="6"/>
  <c r="L873" i="6"/>
  <c r="L874" i="6"/>
  <c r="L875" i="6"/>
  <c r="L876" i="6"/>
  <c r="L877" i="6"/>
  <c r="L882" i="6"/>
  <c r="L878" i="6"/>
  <c r="L883" i="6"/>
  <c r="L891" i="6"/>
  <c r="L894" i="6"/>
  <c r="L895" i="6"/>
  <c r="L889" i="6"/>
  <c r="L871" i="6"/>
  <c r="L872" i="6"/>
  <c r="L893" i="6"/>
  <c r="L890" i="6"/>
  <c r="D885" i="6"/>
  <c r="E885" i="6" s="1"/>
  <c r="D892" i="6"/>
  <c r="E892" i="6" s="1"/>
  <c r="D887" i="6"/>
  <c r="E887" i="6" s="1"/>
  <c r="D888" i="6"/>
  <c r="E888" i="6" s="1"/>
  <c r="D886" i="6"/>
  <c r="E886" i="6" s="1"/>
  <c r="D880" i="6"/>
  <c r="E880" i="6" s="1"/>
  <c r="D881" i="6"/>
  <c r="E881" i="6" s="1"/>
  <c r="D879" i="6"/>
  <c r="F879" i="6" s="1"/>
  <c r="D884" i="6"/>
  <c r="E884" i="6" s="1"/>
  <c r="D873" i="6"/>
  <c r="E873" i="6" s="1"/>
  <c r="D874" i="6"/>
  <c r="E874" i="6" s="1"/>
  <c r="D875" i="6"/>
  <c r="F875" i="6" s="1"/>
  <c r="D876" i="6"/>
  <c r="E876" i="6" s="1"/>
  <c r="D877" i="6"/>
  <c r="E877" i="6" s="1"/>
  <c r="D882" i="6"/>
  <c r="E882" i="6" s="1"/>
  <c r="D878" i="6"/>
  <c r="F878" i="6" s="1"/>
  <c r="D883" i="6"/>
  <c r="E883" i="6" s="1"/>
  <c r="D891" i="6"/>
  <c r="E891" i="6" s="1"/>
  <c r="D894" i="6"/>
  <c r="E894" i="6" s="1"/>
  <c r="D895" i="6"/>
  <c r="E895" i="6" s="1"/>
  <c r="D889" i="6"/>
  <c r="E889" i="6" s="1"/>
  <c r="D871" i="6"/>
  <c r="E871" i="6" s="1"/>
  <c r="D872" i="6"/>
  <c r="E872" i="6" s="1"/>
  <c r="D893" i="6"/>
  <c r="F893" i="6" s="1"/>
  <c r="D890" i="6"/>
  <c r="E890" i="6" s="1"/>
  <c r="F888" i="6" l="1"/>
  <c r="E875" i="6"/>
  <c r="E893" i="6"/>
  <c r="E879" i="6"/>
  <c r="F895" i="6"/>
  <c r="E878" i="6"/>
  <c r="F874" i="6"/>
  <c r="F887" i="6"/>
  <c r="F872" i="6"/>
  <c r="F894" i="6"/>
  <c r="F882" i="6"/>
  <c r="F881" i="6"/>
  <c r="F877" i="6"/>
  <c r="F880" i="6"/>
  <c r="F892" i="6"/>
  <c r="F871" i="6"/>
  <c r="F891" i="6"/>
  <c r="F873" i="6"/>
  <c r="F890" i="6"/>
  <c r="F889" i="6"/>
  <c r="F883" i="6"/>
  <c r="F876" i="6"/>
  <c r="F884" i="6"/>
  <c r="F886" i="6"/>
  <c r="F885" i="6"/>
  <c r="F66" i="10" l="1"/>
  <c r="B95" i="10"/>
  <c r="C95" i="10"/>
  <c r="E95" i="10"/>
  <c r="F95" i="10"/>
  <c r="G95" i="10"/>
  <c r="G94" i="10"/>
  <c r="F94" i="10"/>
  <c r="E94" i="10"/>
  <c r="C94" i="10"/>
  <c r="B94" i="10"/>
  <c r="G93" i="10"/>
  <c r="F93" i="10"/>
  <c r="E93" i="10"/>
  <c r="C93" i="10"/>
  <c r="B93" i="10"/>
  <c r="G92" i="10"/>
  <c r="F92" i="10"/>
  <c r="E92" i="10"/>
  <c r="C92" i="10"/>
  <c r="B92" i="10"/>
  <c r="G91" i="10"/>
  <c r="F91" i="10"/>
  <c r="E91" i="10"/>
  <c r="C91" i="10"/>
  <c r="B91" i="10"/>
  <c r="G90" i="10"/>
  <c r="F90" i="10"/>
  <c r="E90" i="10"/>
  <c r="C90" i="10"/>
  <c r="B90" i="10"/>
  <c r="G89" i="10"/>
  <c r="F89" i="10"/>
  <c r="E89" i="10"/>
  <c r="C89" i="10"/>
  <c r="B89" i="10"/>
  <c r="G88" i="10"/>
  <c r="F88" i="10"/>
  <c r="E88" i="10"/>
  <c r="C88" i="10"/>
  <c r="B88" i="10"/>
  <c r="G87" i="10"/>
  <c r="F87" i="10"/>
  <c r="E87" i="10"/>
  <c r="C87" i="10"/>
  <c r="B87" i="10"/>
  <c r="G86" i="10"/>
  <c r="F86" i="10"/>
  <c r="E86" i="10"/>
  <c r="C86" i="10"/>
  <c r="B86" i="10"/>
  <c r="G85" i="10"/>
  <c r="F85" i="10"/>
  <c r="E85" i="10"/>
  <c r="C85" i="10"/>
  <c r="B85" i="10"/>
  <c r="G84" i="10"/>
  <c r="F84" i="10"/>
  <c r="E84" i="10"/>
  <c r="C84" i="10"/>
  <c r="B84" i="10"/>
  <c r="G83" i="10"/>
  <c r="F83" i="10"/>
  <c r="E83" i="10"/>
  <c r="C83" i="10"/>
  <c r="B83" i="10"/>
  <c r="G82" i="10"/>
  <c r="F82" i="10"/>
  <c r="E82" i="10"/>
  <c r="C82" i="10"/>
  <c r="B82" i="10"/>
  <c r="G81" i="10"/>
  <c r="F81" i="10"/>
  <c r="E81" i="10"/>
  <c r="C81" i="10"/>
  <c r="B81" i="10"/>
  <c r="G80" i="10"/>
  <c r="F80" i="10"/>
  <c r="E80" i="10"/>
  <c r="C80" i="10"/>
  <c r="B80" i="10"/>
  <c r="G79" i="10"/>
  <c r="F79" i="10"/>
  <c r="E79" i="10"/>
  <c r="C79" i="10"/>
  <c r="B79" i="10"/>
  <c r="G78" i="10"/>
  <c r="F78" i="10"/>
  <c r="E78" i="10"/>
  <c r="C78" i="10"/>
  <c r="B78" i="10"/>
  <c r="G77" i="10"/>
  <c r="F77" i="10"/>
  <c r="E77" i="10"/>
  <c r="C77" i="10"/>
  <c r="B77" i="10"/>
  <c r="G76" i="10"/>
  <c r="F76" i="10"/>
  <c r="E76" i="10"/>
  <c r="C76" i="10"/>
  <c r="B76" i="10"/>
  <c r="G75" i="10"/>
  <c r="F75" i="10"/>
  <c r="E75" i="10"/>
  <c r="C75" i="10"/>
  <c r="B75" i="10"/>
  <c r="G74" i="10"/>
  <c r="F74" i="10"/>
  <c r="E74" i="10"/>
  <c r="C74" i="10"/>
  <c r="B74" i="10"/>
  <c r="G73" i="10"/>
  <c r="F73" i="10"/>
  <c r="E73" i="10"/>
  <c r="C73" i="10"/>
  <c r="B73" i="10"/>
  <c r="G72" i="10"/>
  <c r="F72" i="10"/>
  <c r="E72" i="10"/>
  <c r="C72" i="10"/>
  <c r="B72" i="10"/>
  <c r="G71" i="10"/>
  <c r="F71" i="10"/>
  <c r="E71" i="10"/>
  <c r="C71" i="10"/>
  <c r="B71" i="10"/>
  <c r="G70" i="10"/>
  <c r="F70" i="10"/>
  <c r="E70" i="10"/>
  <c r="C70" i="10"/>
  <c r="B70" i="10"/>
  <c r="G69" i="10"/>
  <c r="F69" i="10"/>
  <c r="E69" i="10"/>
  <c r="C69" i="10"/>
  <c r="B69" i="10"/>
  <c r="G68" i="10"/>
  <c r="F68" i="10"/>
  <c r="E68" i="10"/>
  <c r="C68" i="10"/>
  <c r="B68" i="10"/>
  <c r="G67" i="10"/>
  <c r="F67" i="10"/>
  <c r="E67" i="10"/>
  <c r="C67" i="10"/>
  <c r="B67" i="10"/>
  <c r="G66" i="10"/>
  <c r="E66" i="10"/>
  <c r="C66" i="10"/>
  <c r="B66" i="10"/>
  <c r="G65" i="10"/>
  <c r="F65" i="10"/>
  <c r="E65" i="10"/>
  <c r="C65" i="10"/>
  <c r="B65" i="10"/>
  <c r="D91" i="10" l="1"/>
  <c r="D95" i="10"/>
  <c r="D92" i="10"/>
  <c r="D82" i="10"/>
  <c r="D66" i="10"/>
  <c r="D90" i="10"/>
  <c r="D68" i="10"/>
  <c r="D80" i="10"/>
  <c r="D77" i="10"/>
  <c r="D89" i="10"/>
  <c r="D71" i="10"/>
  <c r="D76" i="10"/>
  <c r="D83" i="10"/>
  <c r="D67" i="10"/>
  <c r="D65" i="10"/>
  <c r="D94" i="10"/>
  <c r="D69" i="10"/>
  <c r="D74" i="10"/>
  <c r="D81" i="10"/>
  <c r="D86" i="10"/>
  <c r="D72" i="10"/>
  <c r="D79" i="10"/>
  <c r="D84" i="10"/>
  <c r="D93" i="10"/>
  <c r="D70" i="10"/>
  <c r="D75" i="10"/>
  <c r="D87" i="10"/>
  <c r="D73" i="10"/>
  <c r="D78" i="10"/>
  <c r="D85" i="10"/>
  <c r="D88" i="10"/>
  <c r="L863" i="6"/>
  <c r="L864" i="6"/>
  <c r="L868" i="6"/>
  <c r="L869" i="6"/>
  <c r="L866" i="6"/>
  <c r="L867" i="6"/>
  <c r="L870" i="6"/>
  <c r="L865" i="6"/>
  <c r="Q868" i="6"/>
  <c r="Q869" i="6"/>
  <c r="Q866" i="6"/>
  <c r="Q870" i="6"/>
  <c r="D863" i="6"/>
  <c r="F863" i="6" s="1"/>
  <c r="D864" i="6"/>
  <c r="E864" i="6" s="1"/>
  <c r="D868" i="6"/>
  <c r="E868" i="6" s="1"/>
  <c r="D869" i="6"/>
  <c r="E869" i="6" s="1"/>
  <c r="D866" i="6"/>
  <c r="F866" i="6" s="1"/>
  <c r="D867" i="6"/>
  <c r="E867" i="6" s="1"/>
  <c r="D870" i="6"/>
  <c r="E870" i="6" s="1"/>
  <c r="D865" i="6"/>
  <c r="F865" i="6" s="1"/>
  <c r="E866" i="6" l="1"/>
  <c r="F868" i="6"/>
  <c r="E863" i="6"/>
  <c r="E865" i="6"/>
  <c r="F869" i="6"/>
  <c r="F870" i="6"/>
  <c r="F867" i="6"/>
  <c r="F864" i="6"/>
  <c r="Q859" i="6"/>
  <c r="Q860" i="6"/>
  <c r="Q862" i="6"/>
  <c r="Q861" i="6"/>
  <c r="L859" i="6"/>
  <c r="L860" i="6"/>
  <c r="L857" i="6"/>
  <c r="L862" i="6"/>
  <c r="L854" i="6"/>
  <c r="L855" i="6"/>
  <c r="L858" i="6"/>
  <c r="L856" i="6"/>
  <c r="L861" i="6"/>
  <c r="D859" i="6"/>
  <c r="E859" i="6" s="1"/>
  <c r="D860" i="6"/>
  <c r="F860" i="6" s="1"/>
  <c r="D857" i="6"/>
  <c r="E857" i="6" s="1"/>
  <c r="D862" i="6"/>
  <c r="E862" i="6" s="1"/>
  <c r="D854" i="6"/>
  <c r="E854" i="6" s="1"/>
  <c r="D855" i="6"/>
  <c r="E855" i="6" s="1"/>
  <c r="D858" i="6"/>
  <c r="E858" i="6" s="1"/>
  <c r="D856" i="6"/>
  <c r="F856" i="6" s="1"/>
  <c r="D861" i="6"/>
  <c r="E861" i="6" s="1"/>
  <c r="E856" i="6" l="1"/>
  <c r="F862" i="6"/>
  <c r="F858" i="6"/>
  <c r="F857" i="6"/>
  <c r="F855" i="6"/>
  <c r="E860" i="6"/>
  <c r="F861" i="6"/>
  <c r="F854" i="6"/>
  <c r="F859" i="6"/>
  <c r="Q842" i="6" l="1"/>
  <c r="Q847" i="6"/>
  <c r="D840" i="6" l="1"/>
  <c r="F840" i="6" s="1"/>
  <c r="D841" i="6"/>
  <c r="E841" i="6" s="1"/>
  <c r="D842" i="6"/>
  <c r="E842" i="6" s="1"/>
  <c r="D843" i="6"/>
  <c r="E843" i="6" s="1"/>
  <c r="D844" i="6"/>
  <c r="E844" i="6" s="1"/>
  <c r="D845" i="6"/>
  <c r="E845" i="6" s="1"/>
  <c r="D846" i="6"/>
  <c r="F846" i="6" s="1"/>
  <c r="D847" i="6"/>
  <c r="E847" i="6" s="1"/>
  <c r="D848" i="6"/>
  <c r="E848" i="6" s="1"/>
  <c r="D849" i="6"/>
  <c r="E849" i="6" s="1"/>
  <c r="D850" i="6"/>
  <c r="F850" i="6" s="1"/>
  <c r="D851" i="6"/>
  <c r="F851" i="6" s="1"/>
  <c r="D852" i="6"/>
  <c r="F852" i="6" s="1"/>
  <c r="D853" i="6"/>
  <c r="E853" i="6" s="1"/>
  <c r="L840" i="6"/>
  <c r="L841" i="6"/>
  <c r="L842" i="6"/>
  <c r="L843" i="6"/>
  <c r="L844" i="6"/>
  <c r="L845" i="6"/>
  <c r="L846" i="6"/>
  <c r="L847" i="6"/>
  <c r="L848" i="6"/>
  <c r="L849" i="6"/>
  <c r="L850" i="6"/>
  <c r="L851" i="6"/>
  <c r="L852" i="6"/>
  <c r="L853" i="6"/>
  <c r="E851" i="6" l="1"/>
  <c r="E850" i="6"/>
  <c r="F849" i="6"/>
  <c r="F848" i="6"/>
  <c r="E846" i="6"/>
  <c r="F845" i="6"/>
  <c r="F842" i="6"/>
  <c r="E852" i="6"/>
  <c r="E840" i="6"/>
  <c r="F844" i="6"/>
  <c r="F843" i="6"/>
  <c r="F853" i="6"/>
  <c r="F847" i="6"/>
  <c r="F841" i="6"/>
  <c r="D823" i="6"/>
  <c r="E823" i="6" s="1"/>
  <c r="D839" i="6"/>
  <c r="E839" i="6" s="1"/>
  <c r="D838" i="6"/>
  <c r="E838" i="6" s="1"/>
  <c r="D828" i="6"/>
  <c r="E828" i="6" s="1"/>
  <c r="D836" i="6"/>
  <c r="E836" i="6" s="1"/>
  <c r="D827" i="6"/>
  <c r="E827" i="6" s="1"/>
  <c r="D832" i="6"/>
  <c r="E832" i="6" s="1"/>
  <c r="D826" i="6"/>
  <c r="E826" i="6" s="1"/>
  <c r="D833" i="6"/>
  <c r="E833" i="6" s="1"/>
  <c r="D825" i="6"/>
  <c r="E825" i="6" s="1"/>
  <c r="D837" i="6"/>
  <c r="E837" i="6" s="1"/>
  <c r="D831" i="6"/>
  <c r="E831" i="6" s="1"/>
  <c r="D824" i="6"/>
  <c r="E824" i="6" s="1"/>
  <c r="D835" i="6"/>
  <c r="E835" i="6" s="1"/>
  <c r="D830" i="6"/>
  <c r="E830" i="6" s="1"/>
  <c r="D829" i="6"/>
  <c r="E829" i="6" s="1"/>
  <c r="D834" i="6"/>
  <c r="E834" i="6" s="1"/>
  <c r="Q839" i="6"/>
  <c r="Q838" i="6"/>
  <c r="Q836" i="6"/>
  <c r="Q832" i="6"/>
  <c r="Q833" i="6"/>
  <c r="Q835" i="6"/>
  <c r="Q834" i="6"/>
  <c r="L823" i="6"/>
  <c r="L839" i="6"/>
  <c r="L838" i="6"/>
  <c r="L828" i="6"/>
  <c r="L836" i="6"/>
  <c r="L827" i="6"/>
  <c r="L832" i="6"/>
  <c r="L826" i="6"/>
  <c r="L833" i="6"/>
  <c r="L825" i="6"/>
  <c r="L837" i="6"/>
  <c r="L831" i="6"/>
  <c r="L824" i="6"/>
  <c r="L835" i="6"/>
  <c r="L830" i="6"/>
  <c r="L829" i="6"/>
  <c r="L834" i="6"/>
  <c r="F829" i="6" l="1"/>
  <c r="F831" i="6"/>
  <c r="F826" i="6"/>
  <c r="F828" i="6"/>
  <c r="F837" i="6"/>
  <c r="F832" i="6"/>
  <c r="F838" i="6"/>
  <c r="F830" i="6"/>
  <c r="F825" i="6"/>
  <c r="F827" i="6"/>
  <c r="F839" i="6"/>
  <c r="F835" i="6"/>
  <c r="F834" i="6"/>
  <c r="F824" i="6"/>
  <c r="F833" i="6"/>
  <c r="F836" i="6"/>
  <c r="F823" i="6"/>
  <c r="Q821" i="6"/>
  <c r="Q816" i="6"/>
  <c r="Q820" i="6"/>
  <c r="Q813" i="6"/>
  <c r="Q814" i="6"/>
  <c r="Q817" i="6"/>
  <c r="Q822" i="6"/>
  <c r="L819" i="6"/>
  <c r="L821" i="6"/>
  <c r="L818" i="6"/>
  <c r="L816" i="6"/>
  <c r="L820" i="6"/>
  <c r="L815" i="6"/>
  <c r="L813" i="6"/>
  <c r="L814" i="6"/>
  <c r="L812" i="6"/>
  <c r="L817" i="6"/>
  <c r="L822" i="6"/>
  <c r="L810" i="6"/>
  <c r="L811" i="6"/>
  <c r="D819" i="6"/>
  <c r="E819" i="6" s="1"/>
  <c r="D821" i="6"/>
  <c r="E821" i="6" s="1"/>
  <c r="D818" i="6"/>
  <c r="E818" i="6" s="1"/>
  <c r="D816" i="6"/>
  <c r="E816" i="6" s="1"/>
  <c r="D820" i="6"/>
  <c r="E820" i="6" s="1"/>
  <c r="D815" i="6"/>
  <c r="E815" i="6" s="1"/>
  <c r="D813" i="6"/>
  <c r="E813" i="6" s="1"/>
  <c r="D814" i="6"/>
  <c r="E814" i="6" s="1"/>
  <c r="D812" i="6"/>
  <c r="E812" i="6" s="1"/>
  <c r="D817" i="6"/>
  <c r="E817" i="6" s="1"/>
  <c r="D822" i="6"/>
  <c r="E822" i="6" s="1"/>
  <c r="D810" i="6"/>
  <c r="E810" i="6" s="1"/>
  <c r="D811" i="6"/>
  <c r="E811" i="6" s="1"/>
  <c r="F810" i="6" l="1"/>
  <c r="F814" i="6"/>
  <c r="F816" i="6"/>
  <c r="F822" i="6"/>
  <c r="F813" i="6"/>
  <c r="F818" i="6"/>
  <c r="F817" i="6"/>
  <c r="F815" i="6"/>
  <c r="F821" i="6"/>
  <c r="F811" i="6"/>
  <c r="F812" i="6"/>
  <c r="F820" i="6"/>
  <c r="F819" i="6"/>
  <c r="Q805" i="6" l="1"/>
  <c r="Q807" i="6"/>
  <c r="L805" i="6"/>
  <c r="L797" i="6"/>
  <c r="L804" i="6"/>
  <c r="L803" i="6"/>
  <c r="L800" i="6"/>
  <c r="L802" i="6"/>
  <c r="L806" i="6"/>
  <c r="L807" i="6"/>
  <c r="L799" i="6"/>
  <c r="L801" i="6"/>
  <c r="L795" i="6"/>
  <c r="L809" i="6"/>
  <c r="L808" i="6"/>
  <c r="L798" i="6"/>
  <c r="L794" i="6"/>
  <c r="L793" i="6"/>
  <c r="L796" i="6"/>
  <c r="D805" i="6"/>
  <c r="E805" i="6" s="1"/>
  <c r="D797" i="6"/>
  <c r="E797" i="6" s="1"/>
  <c r="D804" i="6"/>
  <c r="E804" i="6" s="1"/>
  <c r="D803" i="6"/>
  <c r="E803" i="6" s="1"/>
  <c r="D800" i="6"/>
  <c r="E800" i="6" s="1"/>
  <c r="D802" i="6"/>
  <c r="E802" i="6" s="1"/>
  <c r="D806" i="6"/>
  <c r="E806" i="6" s="1"/>
  <c r="D807" i="6"/>
  <c r="E807" i="6" s="1"/>
  <c r="D799" i="6"/>
  <c r="E799" i="6" s="1"/>
  <c r="D801" i="6"/>
  <c r="E801" i="6" s="1"/>
  <c r="D795" i="6"/>
  <c r="E795" i="6" s="1"/>
  <c r="D809" i="6"/>
  <c r="E809" i="6" s="1"/>
  <c r="D808" i="6"/>
  <c r="E808" i="6" s="1"/>
  <c r="D798" i="6"/>
  <c r="E798" i="6" s="1"/>
  <c r="D794" i="6"/>
  <c r="E794" i="6" s="1"/>
  <c r="D793" i="6"/>
  <c r="E793" i="6" s="1"/>
  <c r="D796" i="6"/>
  <c r="E796" i="6" s="1"/>
  <c r="F809" i="6" l="1"/>
  <c r="F803" i="6"/>
  <c r="F793" i="6"/>
  <c r="F807" i="6"/>
  <c r="F804" i="6"/>
  <c r="F794" i="6"/>
  <c r="F795" i="6"/>
  <c r="F806" i="6"/>
  <c r="F801" i="6"/>
  <c r="F802" i="6"/>
  <c r="F797" i="6"/>
  <c r="F798" i="6"/>
  <c r="F796" i="6"/>
  <c r="F808" i="6"/>
  <c r="F799" i="6"/>
  <c r="F800" i="6"/>
  <c r="F805" i="6"/>
  <c r="Q770" i="6" l="1"/>
  <c r="Q771" i="6"/>
  <c r="Q772" i="6"/>
  <c r="Q773" i="6"/>
  <c r="Q774" i="6"/>
  <c r="Q775" i="6"/>
  <c r="Q776" i="6"/>
  <c r="Q788" i="6"/>
  <c r="Q791" i="6"/>
  <c r="Q787" i="6"/>
  <c r="Q786" i="6"/>
  <c r="D779" i="6" l="1"/>
  <c r="F779" i="6" s="1"/>
  <c r="D783" i="6"/>
  <c r="F783" i="6" s="1"/>
  <c r="D781" i="6"/>
  <c r="E781" i="6" s="1"/>
  <c r="D780" i="6"/>
  <c r="F780" i="6" s="1"/>
  <c r="D786" i="6"/>
  <c r="F786" i="6" s="1"/>
  <c r="D792" i="6"/>
  <c r="F792" i="6" s="1"/>
  <c r="D787" i="6"/>
  <c r="E787" i="6" s="1"/>
  <c r="D778" i="6"/>
  <c r="F778" i="6" s="1"/>
  <c r="D784" i="6"/>
  <c r="E784" i="6" s="1"/>
  <c r="D791" i="6"/>
  <c r="F791" i="6" s="1"/>
  <c r="D790" i="6"/>
  <c r="F790" i="6" s="1"/>
  <c r="D789" i="6"/>
  <c r="F789" i="6" s="1"/>
  <c r="D788" i="6"/>
  <c r="E788" i="6" s="1"/>
  <c r="D785" i="6"/>
  <c r="F785" i="6" s="1"/>
  <c r="D782" i="6"/>
  <c r="F782" i="6" s="1"/>
  <c r="D777" i="6"/>
  <c r="F777" i="6" s="1"/>
  <c r="L779" i="6"/>
  <c r="L783" i="6"/>
  <c r="L781" i="6"/>
  <c r="L780" i="6"/>
  <c r="L786" i="6"/>
  <c r="L792" i="6"/>
  <c r="L787" i="6"/>
  <c r="L778" i="6"/>
  <c r="L784" i="6"/>
  <c r="L791" i="6"/>
  <c r="L790" i="6"/>
  <c r="L789" i="6"/>
  <c r="L788" i="6"/>
  <c r="L785" i="6"/>
  <c r="L782" i="6"/>
  <c r="L777" i="6"/>
  <c r="E786" i="6" l="1"/>
  <c r="E779" i="6"/>
  <c r="F788" i="6"/>
  <c r="F784" i="6"/>
  <c r="E777" i="6"/>
  <c r="E789" i="6"/>
  <c r="E778" i="6"/>
  <c r="E780" i="6"/>
  <c r="E782" i="6"/>
  <c r="F787" i="6"/>
  <c r="E790" i="6"/>
  <c r="F781" i="6"/>
  <c r="E783" i="6"/>
  <c r="E785" i="6"/>
  <c r="E791" i="6"/>
  <c r="E792" i="6"/>
  <c r="L773" i="6" l="1"/>
  <c r="L771" i="6"/>
  <c r="L766" i="6"/>
  <c r="L770" i="6"/>
  <c r="L769" i="6"/>
  <c r="L768" i="6"/>
  <c r="L772" i="6"/>
  <c r="L774" i="6"/>
  <c r="L764" i="6"/>
  <c r="L765" i="6"/>
  <c r="L763" i="6"/>
  <c r="L776" i="6"/>
  <c r="L775" i="6"/>
  <c r="L767" i="6"/>
  <c r="D773" i="6"/>
  <c r="E773" i="6" s="1"/>
  <c r="D771" i="6"/>
  <c r="E771" i="6" s="1"/>
  <c r="D766" i="6"/>
  <c r="E766" i="6" s="1"/>
  <c r="D770" i="6"/>
  <c r="E770" i="6" s="1"/>
  <c r="D769" i="6"/>
  <c r="E769" i="6" s="1"/>
  <c r="D768" i="6"/>
  <c r="E768" i="6" s="1"/>
  <c r="D772" i="6"/>
  <c r="E772" i="6" s="1"/>
  <c r="D774" i="6"/>
  <c r="E774" i="6" s="1"/>
  <c r="D764" i="6"/>
  <c r="E764" i="6" s="1"/>
  <c r="D765" i="6"/>
  <c r="E765" i="6" s="1"/>
  <c r="D763" i="6"/>
  <c r="E763" i="6" s="1"/>
  <c r="D776" i="6"/>
  <c r="E776" i="6" s="1"/>
  <c r="D775" i="6"/>
  <c r="E775" i="6" s="1"/>
  <c r="D767" i="6"/>
  <c r="E767" i="6" s="1"/>
  <c r="F776" i="6" l="1"/>
  <c r="F774" i="6"/>
  <c r="F770" i="6"/>
  <c r="F763" i="6"/>
  <c r="F772" i="6"/>
  <c r="F766" i="6"/>
  <c r="F771" i="6"/>
  <c r="F767" i="6"/>
  <c r="F765" i="6"/>
  <c r="F768" i="6"/>
  <c r="F764" i="6"/>
  <c r="F769" i="6"/>
  <c r="F773" i="6"/>
  <c r="F775" i="6"/>
  <c r="Q759" i="6" l="1"/>
  <c r="Q757" i="6"/>
  <c r="Q758" i="6"/>
  <c r="Q761" i="6"/>
  <c r="Q762" i="6"/>
  <c r="D752" i="6"/>
  <c r="F752" i="6" s="1"/>
  <c r="D759" i="6"/>
  <c r="E759" i="6" s="1"/>
  <c r="D760" i="6"/>
  <c r="F760" i="6" s="1"/>
  <c r="D757" i="6"/>
  <c r="E757" i="6" s="1"/>
  <c r="D753" i="6"/>
  <c r="F753" i="6" s="1"/>
  <c r="D756" i="6"/>
  <c r="E756" i="6" s="1"/>
  <c r="D758" i="6"/>
  <c r="F758" i="6" s="1"/>
  <c r="D761" i="6"/>
  <c r="E761" i="6" s="1"/>
  <c r="D762" i="6"/>
  <c r="F762" i="6" s="1"/>
  <c r="D751" i="6"/>
  <c r="E751" i="6" s="1"/>
  <c r="D755" i="6"/>
  <c r="F755" i="6" s="1"/>
  <c r="D754" i="6"/>
  <c r="E754" i="6" s="1"/>
  <c r="L752" i="6"/>
  <c r="L759" i="6"/>
  <c r="L760" i="6"/>
  <c r="L757" i="6"/>
  <c r="L753" i="6"/>
  <c r="L756" i="6"/>
  <c r="L758" i="6"/>
  <c r="L761" i="6"/>
  <c r="L762" i="6"/>
  <c r="L751" i="6"/>
  <c r="L755" i="6"/>
  <c r="L754" i="6"/>
  <c r="E753" i="6" l="1"/>
  <c r="E758" i="6"/>
  <c r="E755" i="6"/>
  <c r="E760" i="6"/>
  <c r="E762" i="6"/>
  <c r="E752" i="6"/>
  <c r="F754" i="6"/>
  <c r="F761" i="6"/>
  <c r="F757" i="6"/>
  <c r="F751" i="6"/>
  <c r="F756" i="6"/>
  <c r="F759" i="6"/>
  <c r="Q747" i="6" l="1"/>
  <c r="Q748" i="6"/>
  <c r="Q745" i="6"/>
  <c r="Q746" i="6"/>
  <c r="Q744" i="6"/>
  <c r="D747" i="6"/>
  <c r="E747" i="6" s="1"/>
  <c r="D748" i="6"/>
  <c r="E748" i="6" s="1"/>
  <c r="D738" i="6"/>
  <c r="E738" i="6" s="1"/>
  <c r="D739" i="6"/>
  <c r="E739" i="6" s="1"/>
  <c r="D741" i="6"/>
  <c r="E741" i="6" s="1"/>
  <c r="D745" i="6"/>
  <c r="E745" i="6" s="1"/>
  <c r="D746" i="6"/>
  <c r="E746" i="6" s="1"/>
  <c r="D740" i="6"/>
  <c r="E740" i="6" s="1"/>
  <c r="D744" i="6"/>
  <c r="E744" i="6" s="1"/>
  <c r="D743" i="6"/>
  <c r="E743" i="6" s="1"/>
  <c r="D737" i="6"/>
  <c r="E737" i="6" s="1"/>
  <c r="D742" i="6"/>
  <c r="E742" i="6" s="1"/>
  <c r="D750" i="6"/>
  <c r="E750" i="6" s="1"/>
  <c r="D749" i="6"/>
  <c r="E749" i="6" s="1"/>
  <c r="L747" i="6"/>
  <c r="L748" i="6"/>
  <c r="L738" i="6"/>
  <c r="L739" i="6"/>
  <c r="L741" i="6"/>
  <c r="L745" i="6"/>
  <c r="L746" i="6"/>
  <c r="L740" i="6"/>
  <c r="L744" i="6"/>
  <c r="L743" i="6"/>
  <c r="L737" i="6"/>
  <c r="L742" i="6"/>
  <c r="L750" i="6"/>
  <c r="L749" i="6"/>
  <c r="F739" i="6" l="1"/>
  <c r="F742" i="6"/>
  <c r="F740" i="6"/>
  <c r="F737" i="6"/>
  <c r="F746" i="6"/>
  <c r="F738" i="6"/>
  <c r="F749" i="6"/>
  <c r="F748" i="6"/>
  <c r="F743" i="6"/>
  <c r="F745" i="6"/>
  <c r="F750" i="6"/>
  <c r="F744" i="6"/>
  <c r="F741" i="6"/>
  <c r="F747" i="6"/>
  <c r="Q732" i="6" l="1"/>
  <c r="Q729" i="6"/>
  <c r="Q730" i="6"/>
  <c r="Q735" i="6"/>
  <c r="Q734" i="6"/>
  <c r="Q733" i="6"/>
  <c r="Q736" i="6"/>
  <c r="L732" i="6"/>
  <c r="L729" i="6"/>
  <c r="L725" i="6"/>
  <c r="L730" i="6"/>
  <c r="L735" i="6"/>
  <c r="L734" i="6"/>
  <c r="L733" i="6"/>
  <c r="L731" i="6"/>
  <c r="L736" i="6"/>
  <c r="L728" i="6"/>
  <c r="L727" i="6"/>
  <c r="L726" i="6"/>
  <c r="D729" i="6"/>
  <c r="F729" i="6" s="1"/>
  <c r="D725" i="6"/>
  <c r="E725" i="6" s="1"/>
  <c r="D730" i="6"/>
  <c r="E730" i="6" s="1"/>
  <c r="D735" i="6"/>
  <c r="E735" i="6" s="1"/>
  <c r="D734" i="6"/>
  <c r="E734" i="6" s="1"/>
  <c r="D733" i="6"/>
  <c r="E733" i="6" s="1"/>
  <c r="D731" i="6"/>
  <c r="E731" i="6" s="1"/>
  <c r="D736" i="6"/>
  <c r="E736" i="6" s="1"/>
  <c r="D728" i="6"/>
  <c r="E728" i="6" s="1"/>
  <c r="D727" i="6"/>
  <c r="E727" i="6" s="1"/>
  <c r="D726" i="6"/>
  <c r="E726" i="6" s="1"/>
  <c r="F726" i="6" l="1"/>
  <c r="F734" i="6"/>
  <c r="F735" i="6"/>
  <c r="F730" i="6"/>
  <c r="F725" i="6"/>
  <c r="E729" i="6"/>
  <c r="F731" i="6"/>
  <c r="F736" i="6"/>
  <c r="F728" i="6"/>
  <c r="F733" i="6"/>
  <c r="F727" i="6"/>
  <c r="Q720" i="6" l="1"/>
  <c r="L718" i="6"/>
  <c r="L715" i="6"/>
  <c r="L722" i="6"/>
  <c r="L724" i="6"/>
  <c r="L713" i="6"/>
  <c r="L714" i="6"/>
  <c r="L719" i="6"/>
  <c r="L721" i="6"/>
  <c r="L716" i="6"/>
  <c r="L720" i="6"/>
  <c r="L723" i="6"/>
  <c r="L717" i="6"/>
  <c r="D718" i="6"/>
  <c r="E718" i="6" s="1"/>
  <c r="D715" i="6"/>
  <c r="E715" i="6" s="1"/>
  <c r="D722" i="6"/>
  <c r="E722" i="6" s="1"/>
  <c r="D724" i="6"/>
  <c r="E724" i="6" s="1"/>
  <c r="D713" i="6"/>
  <c r="E713" i="6" s="1"/>
  <c r="D714" i="6"/>
  <c r="E714" i="6" s="1"/>
  <c r="D719" i="6"/>
  <c r="E719" i="6" s="1"/>
  <c r="D721" i="6"/>
  <c r="E721" i="6" s="1"/>
  <c r="D716" i="6"/>
  <c r="E716" i="6" s="1"/>
  <c r="D720" i="6"/>
  <c r="E720" i="6" s="1"/>
  <c r="D723" i="6"/>
  <c r="E723" i="6" s="1"/>
  <c r="D717" i="6"/>
  <c r="E717" i="6" s="1"/>
  <c r="D732" i="6"/>
  <c r="E732" i="6" l="1"/>
  <c r="F732" i="6"/>
  <c r="F717" i="6"/>
  <c r="F721" i="6"/>
  <c r="F724" i="6"/>
  <c r="F723" i="6"/>
  <c r="F719" i="6"/>
  <c r="F722" i="6"/>
  <c r="F720" i="6"/>
  <c r="F715" i="6"/>
  <c r="F714" i="6"/>
  <c r="F716" i="6"/>
  <c r="F713" i="6"/>
  <c r="F718" i="6"/>
  <c r="Q698" i="6"/>
  <c r="Q710" i="6"/>
  <c r="Q711" i="6"/>
  <c r="Q709" i="6"/>
  <c r="Q705" i="6"/>
  <c r="Q706" i="6"/>
  <c r="Q704" i="6"/>
  <c r="Q712" i="6"/>
  <c r="Q708" i="6"/>
  <c r="L710" i="6"/>
  <c r="L711" i="6"/>
  <c r="L700" i="6"/>
  <c r="L701" i="6"/>
  <c r="L709" i="6"/>
  <c r="L702" i="6"/>
  <c r="L699" i="6"/>
  <c r="L705" i="6"/>
  <c r="L706" i="6"/>
  <c r="L704" i="6"/>
  <c r="L707" i="6"/>
  <c r="L712" i="6"/>
  <c r="L708" i="6"/>
  <c r="L703" i="6"/>
  <c r="D710" i="6"/>
  <c r="E710" i="6" s="1"/>
  <c r="D711" i="6"/>
  <c r="E711" i="6" s="1"/>
  <c r="D700" i="6"/>
  <c r="E700" i="6" s="1"/>
  <c r="D701" i="6"/>
  <c r="E701" i="6" s="1"/>
  <c r="D709" i="6"/>
  <c r="E709" i="6" s="1"/>
  <c r="D702" i="6"/>
  <c r="E702" i="6" s="1"/>
  <c r="D699" i="6"/>
  <c r="E699" i="6" s="1"/>
  <c r="D705" i="6"/>
  <c r="E705" i="6" s="1"/>
  <c r="D706" i="6"/>
  <c r="E706" i="6" s="1"/>
  <c r="D704" i="6"/>
  <c r="E704" i="6" s="1"/>
  <c r="D707" i="6"/>
  <c r="E707" i="6" s="1"/>
  <c r="D712" i="6"/>
  <c r="E712" i="6" s="1"/>
  <c r="D708" i="6"/>
  <c r="E708" i="6" s="1"/>
  <c r="D703" i="6"/>
  <c r="E703" i="6" s="1"/>
  <c r="F712" i="6" l="1"/>
  <c r="F705" i="6"/>
  <c r="F701" i="6"/>
  <c r="F707" i="6"/>
  <c r="F699" i="6"/>
  <c r="F700" i="6"/>
  <c r="F704" i="6"/>
  <c r="F702" i="6"/>
  <c r="F711" i="6"/>
  <c r="F703" i="6"/>
  <c r="F708" i="6"/>
  <c r="F710" i="6"/>
  <c r="F706" i="6"/>
  <c r="F709" i="6"/>
  <c r="B2" i="10" l="1"/>
  <c r="C2" i="10"/>
  <c r="E2" i="10"/>
  <c r="F2" i="10"/>
  <c r="G2" i="10"/>
  <c r="B3" i="10"/>
  <c r="C3" i="10"/>
  <c r="E3" i="10"/>
  <c r="F3" i="10"/>
  <c r="G3" i="10"/>
  <c r="B4" i="10"/>
  <c r="C4" i="10"/>
  <c r="E4" i="10"/>
  <c r="F4" i="10"/>
  <c r="G4" i="10"/>
  <c r="B5" i="10"/>
  <c r="C5" i="10"/>
  <c r="E5" i="10"/>
  <c r="F5" i="10"/>
  <c r="G5" i="10"/>
  <c r="B6" i="10"/>
  <c r="C6" i="10"/>
  <c r="E6" i="10"/>
  <c r="F6" i="10"/>
  <c r="G6" i="10"/>
  <c r="B7" i="10"/>
  <c r="C7" i="10"/>
  <c r="E7" i="10"/>
  <c r="F7" i="10"/>
  <c r="G7" i="10"/>
  <c r="E34" i="10"/>
  <c r="F34" i="10"/>
  <c r="G34" i="10"/>
  <c r="E35" i="10"/>
  <c r="F35" i="10"/>
  <c r="G35" i="10"/>
  <c r="E36" i="10"/>
  <c r="F36" i="10"/>
  <c r="G36" i="10"/>
  <c r="E37" i="10"/>
  <c r="F37" i="10"/>
  <c r="G37" i="10"/>
  <c r="E38" i="10"/>
  <c r="F38" i="10"/>
  <c r="G38" i="10"/>
  <c r="E39" i="10"/>
  <c r="F39" i="10"/>
  <c r="G39" i="10"/>
  <c r="E40" i="10"/>
  <c r="F40" i="10"/>
  <c r="G40" i="10"/>
  <c r="E41" i="10"/>
  <c r="F41" i="10"/>
  <c r="G41" i="10"/>
  <c r="E42" i="10"/>
  <c r="F42" i="10"/>
  <c r="G42" i="10"/>
  <c r="E43" i="10"/>
  <c r="F43" i="10"/>
  <c r="G43" i="10"/>
  <c r="E44" i="10"/>
  <c r="F44" i="10"/>
  <c r="G44" i="10"/>
  <c r="E45" i="10"/>
  <c r="F45" i="10"/>
  <c r="G45" i="10"/>
  <c r="E46" i="10"/>
  <c r="F46" i="10"/>
  <c r="G46" i="10"/>
  <c r="E47" i="10"/>
  <c r="F47" i="10"/>
  <c r="G47" i="10"/>
  <c r="E48" i="10"/>
  <c r="F48" i="10"/>
  <c r="G48" i="10"/>
  <c r="E49" i="10"/>
  <c r="F49" i="10"/>
  <c r="G49" i="10"/>
  <c r="E50" i="10"/>
  <c r="F50" i="10"/>
  <c r="G50" i="10"/>
  <c r="E51" i="10"/>
  <c r="F51" i="10"/>
  <c r="G51" i="10"/>
  <c r="E52" i="10"/>
  <c r="F52" i="10"/>
  <c r="G52" i="10"/>
  <c r="E53" i="10"/>
  <c r="F53" i="10"/>
  <c r="G53" i="10"/>
  <c r="E54" i="10"/>
  <c r="F54" i="10"/>
  <c r="G54" i="10"/>
  <c r="E55" i="10"/>
  <c r="F55" i="10"/>
  <c r="G55" i="10"/>
  <c r="E56" i="10"/>
  <c r="F56" i="10"/>
  <c r="G56" i="10"/>
  <c r="E57" i="10"/>
  <c r="F57" i="10"/>
  <c r="G57" i="10"/>
  <c r="E58" i="10"/>
  <c r="F58" i="10"/>
  <c r="G58" i="10"/>
  <c r="E59" i="10"/>
  <c r="F59" i="10"/>
  <c r="G59" i="10"/>
  <c r="E60" i="10"/>
  <c r="F60" i="10"/>
  <c r="G60" i="10"/>
  <c r="E61" i="10"/>
  <c r="F61" i="10"/>
  <c r="G61" i="10"/>
  <c r="E62" i="10"/>
  <c r="F62" i="10"/>
  <c r="G62" i="10"/>
  <c r="E63" i="10"/>
  <c r="F63" i="10"/>
  <c r="G63" i="10"/>
  <c r="D4" i="10" l="1"/>
  <c r="D3" i="10"/>
  <c r="D5" i="10"/>
  <c r="D2" i="10"/>
  <c r="D6" i="10"/>
  <c r="D7" i="10"/>
  <c r="D692" i="6"/>
  <c r="E692" i="6" s="1"/>
  <c r="D693" i="6"/>
  <c r="E693" i="6" s="1"/>
  <c r="D697" i="6"/>
  <c r="E697" i="6" s="1"/>
  <c r="D696" i="6"/>
  <c r="E696" i="6" s="1"/>
  <c r="D695" i="6"/>
  <c r="E695" i="6" s="1"/>
  <c r="D698" i="6"/>
  <c r="E698" i="6" s="1"/>
  <c r="D694" i="6"/>
  <c r="E694" i="6" s="1"/>
  <c r="Q693" i="6"/>
  <c r="Q697" i="6"/>
  <c r="Q696" i="6"/>
  <c r="Q695" i="6"/>
  <c r="L692" i="6"/>
  <c r="L693" i="6"/>
  <c r="L697" i="6"/>
  <c r="L696" i="6"/>
  <c r="L695" i="6"/>
  <c r="L698" i="6"/>
  <c r="L694" i="6"/>
  <c r="F694" i="6" l="1"/>
  <c r="F697" i="6"/>
  <c r="F696" i="6"/>
  <c r="F698" i="6"/>
  <c r="F693" i="6"/>
  <c r="F695" i="6"/>
  <c r="F692" i="6"/>
  <c r="Q689" i="6"/>
  <c r="Q691" i="6"/>
  <c r="Q686" i="6"/>
  <c r="Q685" i="6"/>
  <c r="Q690" i="6"/>
  <c r="L681" i="6"/>
  <c r="L680" i="6"/>
  <c r="L684" i="6"/>
  <c r="L683" i="6"/>
  <c r="L682" i="6"/>
  <c r="L679" i="6"/>
  <c r="L689" i="6"/>
  <c r="L688" i="6"/>
  <c r="L687" i="6"/>
  <c r="L691" i="6"/>
  <c r="L686" i="6"/>
  <c r="L685" i="6"/>
  <c r="L690" i="6"/>
  <c r="D681" i="6"/>
  <c r="E681" i="6" s="1"/>
  <c r="D680" i="6"/>
  <c r="E680" i="6" s="1"/>
  <c r="D684" i="6"/>
  <c r="E684" i="6" s="1"/>
  <c r="D683" i="6"/>
  <c r="E683" i="6" s="1"/>
  <c r="D682" i="6"/>
  <c r="E682" i="6" s="1"/>
  <c r="D679" i="6"/>
  <c r="E679" i="6" s="1"/>
  <c r="D689" i="6"/>
  <c r="F689" i="6" s="1"/>
  <c r="D688" i="6"/>
  <c r="F688" i="6" s="1"/>
  <c r="D687" i="6"/>
  <c r="E687" i="6" s="1"/>
  <c r="D691" i="6"/>
  <c r="E691" i="6" s="1"/>
  <c r="D686" i="6"/>
  <c r="E686" i="6" s="1"/>
  <c r="D685" i="6"/>
  <c r="E685" i="6" s="1"/>
  <c r="D690" i="6"/>
  <c r="E690" i="6" s="1"/>
  <c r="F682" i="6" l="1"/>
  <c r="F683" i="6"/>
  <c r="E688" i="6"/>
  <c r="F685" i="6"/>
  <c r="F679" i="6"/>
  <c r="E689" i="6"/>
  <c r="F687" i="6"/>
  <c r="F690" i="6"/>
  <c r="F686" i="6"/>
  <c r="F684" i="6"/>
  <c r="F691" i="6"/>
  <c r="F680" i="6"/>
  <c r="F681" i="6"/>
  <c r="D673" i="6"/>
  <c r="E673" i="6" s="1"/>
  <c r="D678" i="6"/>
  <c r="E678" i="6" s="1"/>
  <c r="D674" i="6"/>
  <c r="E674" i="6" s="1"/>
  <c r="D677" i="6"/>
  <c r="F677" i="6" s="1"/>
  <c r="D676" i="6"/>
  <c r="F676" i="6" s="1"/>
  <c r="D675" i="6"/>
  <c r="E675" i="6" s="1"/>
  <c r="Q678" i="6"/>
  <c r="Q676" i="6"/>
  <c r="Q675" i="6"/>
  <c r="L673" i="6"/>
  <c r="L678" i="6"/>
  <c r="L674" i="6"/>
  <c r="L677" i="6"/>
  <c r="L676" i="6"/>
  <c r="L675" i="6"/>
  <c r="E676" i="6" l="1"/>
  <c r="E677" i="6"/>
  <c r="F674" i="6"/>
  <c r="F675" i="6"/>
  <c r="F673" i="6"/>
  <c r="F678" i="6"/>
  <c r="E9" i="10"/>
  <c r="F9" i="10"/>
  <c r="G9" i="10"/>
  <c r="E10" i="10"/>
  <c r="F10" i="10"/>
  <c r="G10" i="10"/>
  <c r="E11" i="10"/>
  <c r="F11" i="10"/>
  <c r="G11" i="10"/>
  <c r="E12" i="10"/>
  <c r="F12" i="10"/>
  <c r="G12" i="10"/>
  <c r="E13" i="10"/>
  <c r="F13" i="10"/>
  <c r="G13" i="10"/>
  <c r="E14" i="10"/>
  <c r="F14" i="10"/>
  <c r="G14" i="10"/>
  <c r="E15" i="10"/>
  <c r="F15" i="10"/>
  <c r="G15" i="10"/>
  <c r="E16" i="10"/>
  <c r="F16" i="10"/>
  <c r="G16" i="10"/>
  <c r="E17" i="10"/>
  <c r="F17" i="10"/>
  <c r="G17" i="10"/>
  <c r="E18" i="10"/>
  <c r="F18" i="10"/>
  <c r="G18" i="10"/>
  <c r="E19" i="10"/>
  <c r="F19" i="10"/>
  <c r="G19" i="10"/>
  <c r="E20" i="10"/>
  <c r="F20" i="10"/>
  <c r="G20" i="10"/>
  <c r="E21" i="10"/>
  <c r="F21" i="10"/>
  <c r="G21" i="10"/>
  <c r="E22" i="10"/>
  <c r="F22" i="10"/>
  <c r="G22" i="10"/>
  <c r="E23" i="10"/>
  <c r="F23" i="10"/>
  <c r="G23" i="10"/>
  <c r="E24" i="10"/>
  <c r="F24" i="10"/>
  <c r="G24" i="10"/>
  <c r="E25" i="10"/>
  <c r="F25" i="10"/>
  <c r="G25" i="10"/>
  <c r="E26" i="10"/>
  <c r="F26" i="10"/>
  <c r="G26" i="10"/>
  <c r="E27" i="10"/>
  <c r="F8" i="10" l="1"/>
  <c r="G8" i="10"/>
  <c r="F28" i="10"/>
  <c r="G28" i="10"/>
  <c r="F29" i="10"/>
  <c r="G29" i="10"/>
  <c r="F30" i="10"/>
  <c r="G30" i="10"/>
  <c r="F31" i="10"/>
  <c r="G31" i="10"/>
  <c r="F32" i="10"/>
  <c r="G32" i="10"/>
  <c r="F27" i="10"/>
  <c r="G27" i="10"/>
  <c r="E28" i="10"/>
  <c r="E29" i="10"/>
  <c r="E30" i="10"/>
  <c r="E31" i="10"/>
  <c r="E32" i="10"/>
  <c r="E8" i="10"/>
  <c r="Q670" i="6" l="1"/>
  <c r="Q669" i="6"/>
  <c r="Q666" i="6"/>
  <c r="Q668" i="6"/>
  <c r="Q671" i="6"/>
  <c r="Q667" i="6"/>
  <c r="L670" i="6"/>
  <c r="L672" i="6"/>
  <c r="L669" i="6"/>
  <c r="L665" i="6"/>
  <c r="L661" i="6"/>
  <c r="L659" i="6"/>
  <c r="L662" i="6"/>
  <c r="L660" i="6"/>
  <c r="L664" i="6"/>
  <c r="L658" i="6"/>
  <c r="L663" i="6"/>
  <c r="L666" i="6"/>
  <c r="L668" i="6"/>
  <c r="L671" i="6"/>
  <c r="L667" i="6"/>
  <c r="D670" i="6"/>
  <c r="E670" i="6" s="1"/>
  <c r="D672" i="6"/>
  <c r="E672" i="6" s="1"/>
  <c r="D669" i="6"/>
  <c r="E669" i="6" s="1"/>
  <c r="D665" i="6"/>
  <c r="E665" i="6" s="1"/>
  <c r="D661" i="6"/>
  <c r="E661" i="6" s="1"/>
  <c r="D659" i="6"/>
  <c r="E659" i="6" s="1"/>
  <c r="D662" i="6"/>
  <c r="E662" i="6" s="1"/>
  <c r="D660" i="6"/>
  <c r="E660" i="6" s="1"/>
  <c r="D664" i="6"/>
  <c r="E664" i="6" s="1"/>
  <c r="D658" i="6"/>
  <c r="E658" i="6" s="1"/>
  <c r="D663" i="6"/>
  <c r="E663" i="6" s="1"/>
  <c r="D666" i="6"/>
  <c r="E666" i="6" s="1"/>
  <c r="D668" i="6"/>
  <c r="E668" i="6" s="1"/>
  <c r="D671" i="6"/>
  <c r="E671" i="6" s="1"/>
  <c r="D667" i="6"/>
  <c r="E667" i="6" s="1"/>
  <c r="F666" i="6" l="1"/>
  <c r="F660" i="6"/>
  <c r="F665" i="6"/>
  <c r="F667" i="6"/>
  <c r="F663" i="6"/>
  <c r="F662" i="6"/>
  <c r="F669" i="6"/>
  <c r="F671" i="6"/>
  <c r="F658" i="6"/>
  <c r="F659" i="6"/>
  <c r="F672" i="6"/>
  <c r="F668" i="6"/>
  <c r="F664" i="6"/>
  <c r="F661" i="6"/>
  <c r="F670" i="6"/>
  <c r="Q656" i="6" l="1"/>
  <c r="Q657" i="6"/>
  <c r="D648" i="6"/>
  <c r="E648" i="6" s="1"/>
  <c r="D656" i="6"/>
  <c r="E656" i="6" s="1"/>
  <c r="D657" i="6"/>
  <c r="E657" i="6" s="1"/>
  <c r="D647" i="6"/>
  <c r="E647" i="6" s="1"/>
  <c r="D649" i="6"/>
  <c r="E649" i="6" s="1"/>
  <c r="D650" i="6"/>
  <c r="E650" i="6" s="1"/>
  <c r="D652" i="6"/>
  <c r="E652" i="6" s="1"/>
  <c r="D651" i="6"/>
  <c r="E651" i="6" s="1"/>
  <c r="D653" i="6"/>
  <c r="E653" i="6" s="1"/>
  <c r="D646" i="6"/>
  <c r="E646" i="6" s="1"/>
  <c r="D655" i="6"/>
  <c r="E655" i="6" s="1"/>
  <c r="D654" i="6"/>
  <c r="E654" i="6" s="1"/>
  <c r="L648" i="6"/>
  <c r="L656" i="6"/>
  <c r="L657" i="6"/>
  <c r="L647" i="6"/>
  <c r="L649" i="6"/>
  <c r="L650" i="6"/>
  <c r="L652" i="6"/>
  <c r="L651" i="6"/>
  <c r="L653" i="6"/>
  <c r="L646" i="6"/>
  <c r="L655" i="6"/>
  <c r="L654" i="6"/>
  <c r="F654" i="6" l="1"/>
  <c r="F651" i="6"/>
  <c r="F647" i="6"/>
  <c r="F655" i="6"/>
  <c r="F652" i="6"/>
  <c r="F657" i="6"/>
  <c r="F650" i="6"/>
  <c r="F656" i="6"/>
  <c r="F646" i="6"/>
  <c r="F653" i="6"/>
  <c r="F649" i="6"/>
  <c r="F648" i="6"/>
  <c r="Q643" i="6" l="1"/>
  <c r="Q644" i="6"/>
  <c r="Q642" i="6"/>
  <c r="L643" i="6"/>
  <c r="L641" i="6"/>
  <c r="L639" i="6"/>
  <c r="L644" i="6"/>
  <c r="L640" i="6"/>
  <c r="L645" i="6"/>
  <c r="L642" i="6"/>
  <c r="L637" i="6"/>
  <c r="L638" i="6"/>
  <c r="D643" i="6"/>
  <c r="E643" i="6" s="1"/>
  <c r="D641" i="6"/>
  <c r="E641" i="6" s="1"/>
  <c r="D639" i="6"/>
  <c r="E639" i="6" s="1"/>
  <c r="D644" i="6"/>
  <c r="E644" i="6" s="1"/>
  <c r="D640" i="6"/>
  <c r="E640" i="6" s="1"/>
  <c r="D645" i="6"/>
  <c r="E645" i="6" s="1"/>
  <c r="D642" i="6"/>
  <c r="E642" i="6" s="1"/>
  <c r="D637" i="6"/>
  <c r="E637" i="6" s="1"/>
  <c r="D638" i="6"/>
  <c r="E638" i="6" s="1"/>
  <c r="F637" i="6" l="1"/>
  <c r="F644" i="6"/>
  <c r="F642" i="6"/>
  <c r="F639" i="6"/>
  <c r="F645" i="6"/>
  <c r="F641" i="6"/>
  <c r="F638" i="6"/>
  <c r="F640" i="6"/>
  <c r="F643" i="6"/>
  <c r="D636" i="6"/>
  <c r="E636" i="6" s="1"/>
  <c r="D630" i="6"/>
  <c r="E630" i="6" s="1"/>
  <c r="D632" i="6"/>
  <c r="E632" i="6" s="1"/>
  <c r="D631" i="6"/>
  <c r="E631" i="6" s="1"/>
  <c r="D635" i="6"/>
  <c r="E635" i="6" s="1"/>
  <c r="D633" i="6"/>
  <c r="E633" i="6" s="1"/>
  <c r="D634" i="6"/>
  <c r="E634" i="6" s="1"/>
  <c r="Q636" i="6"/>
  <c r="Q632" i="6"/>
  <c r="Q631" i="6"/>
  <c r="Q633" i="6"/>
  <c r="Q634" i="6"/>
  <c r="L636" i="6"/>
  <c r="L630" i="6"/>
  <c r="L632" i="6"/>
  <c r="L631" i="6"/>
  <c r="L635" i="6"/>
  <c r="L633" i="6"/>
  <c r="L634" i="6"/>
  <c r="F631" i="6" l="1"/>
  <c r="F634" i="6"/>
  <c r="F632" i="6"/>
  <c r="F635" i="6"/>
  <c r="F636" i="6"/>
  <c r="F633" i="6"/>
  <c r="F630" i="6"/>
  <c r="Q625" i="6"/>
  <c r="Q624" i="6"/>
  <c r="Q623" i="6"/>
  <c r="Q626" i="6"/>
  <c r="Q621" i="6"/>
  <c r="D622" i="6"/>
  <c r="F622" i="6" s="1"/>
  <c r="D628" i="6"/>
  <c r="E628" i="6" s="1"/>
  <c r="D625" i="6"/>
  <c r="E625" i="6" s="1"/>
  <c r="D624" i="6"/>
  <c r="E624" i="6" s="1"/>
  <c r="D623" i="6"/>
  <c r="E623" i="6" s="1"/>
  <c r="D627" i="6"/>
  <c r="F627" i="6" s="1"/>
  <c r="D629" i="6"/>
  <c r="E629" i="6" s="1"/>
  <c r="D626" i="6"/>
  <c r="E626" i="6" s="1"/>
  <c r="L622" i="6"/>
  <c r="L628" i="6"/>
  <c r="L625" i="6"/>
  <c r="L624" i="6"/>
  <c r="L623" i="6"/>
  <c r="L627" i="6"/>
  <c r="L629" i="6"/>
  <c r="L626" i="6"/>
  <c r="F629" i="6" l="1"/>
  <c r="E627" i="6"/>
  <c r="F623" i="6"/>
  <c r="F625" i="6"/>
  <c r="E622" i="6"/>
  <c r="F624" i="6"/>
  <c r="F626" i="6"/>
  <c r="F628" i="6"/>
  <c r="D614" i="6"/>
  <c r="E614" i="6" s="1"/>
  <c r="D615" i="6"/>
  <c r="E615" i="6" s="1"/>
  <c r="D617" i="6"/>
  <c r="F617" i="6" s="1"/>
  <c r="D620" i="6"/>
  <c r="E620" i="6" s="1"/>
  <c r="D613" i="6"/>
  <c r="F613" i="6" s="1"/>
  <c r="D618" i="6"/>
  <c r="E618" i="6" s="1"/>
  <c r="D621" i="6"/>
  <c r="E621" i="6" s="1"/>
  <c r="D616" i="6"/>
  <c r="E616" i="6" s="1"/>
  <c r="D619" i="6"/>
  <c r="F619" i="6" s="1"/>
  <c r="D611" i="6"/>
  <c r="E611" i="6" s="1"/>
  <c r="D610" i="6"/>
  <c r="F610" i="6" s="1"/>
  <c r="D612" i="6"/>
  <c r="E612" i="6" s="1"/>
  <c r="L614" i="6"/>
  <c r="L615" i="6"/>
  <c r="L617" i="6"/>
  <c r="L620" i="6"/>
  <c r="L613" i="6"/>
  <c r="L618" i="6"/>
  <c r="L621" i="6"/>
  <c r="L616" i="6"/>
  <c r="L619" i="6"/>
  <c r="L611" i="6"/>
  <c r="L610" i="6"/>
  <c r="L612" i="6"/>
  <c r="E610" i="6" l="1"/>
  <c r="E619" i="6"/>
  <c r="F616" i="6"/>
  <c r="E613" i="6"/>
  <c r="F611" i="6"/>
  <c r="F621" i="6"/>
  <c r="E617" i="6"/>
  <c r="F615" i="6"/>
  <c r="F620" i="6"/>
  <c r="F612" i="6"/>
  <c r="F614" i="6"/>
  <c r="F618" i="6"/>
  <c r="B34" i="10"/>
  <c r="C34" i="10"/>
  <c r="B35" i="10"/>
  <c r="C35" i="10"/>
  <c r="B36" i="10"/>
  <c r="C36" i="10"/>
  <c r="B37" i="10"/>
  <c r="C37" i="10"/>
  <c r="B38" i="10"/>
  <c r="C38" i="10"/>
  <c r="B39" i="10"/>
  <c r="C39" i="10"/>
  <c r="B40" i="10"/>
  <c r="C40" i="10"/>
  <c r="B41" i="10"/>
  <c r="C41" i="10"/>
  <c r="B42" i="10"/>
  <c r="C42" i="10"/>
  <c r="B43" i="10"/>
  <c r="C43" i="10"/>
  <c r="B44" i="10"/>
  <c r="C44" i="10"/>
  <c r="B45" i="10"/>
  <c r="C45" i="10"/>
  <c r="B46" i="10"/>
  <c r="C46" i="10"/>
  <c r="B47" i="10"/>
  <c r="C47" i="10"/>
  <c r="B48" i="10"/>
  <c r="C48" i="10"/>
  <c r="B49" i="10"/>
  <c r="C49" i="10"/>
  <c r="B50" i="10"/>
  <c r="C50" i="10"/>
  <c r="B51" i="10"/>
  <c r="C51" i="10"/>
  <c r="B52" i="10"/>
  <c r="C52" i="10"/>
  <c r="B53" i="10"/>
  <c r="C53" i="10"/>
  <c r="B54" i="10"/>
  <c r="C54" i="10"/>
  <c r="B55" i="10"/>
  <c r="C55" i="10"/>
  <c r="B56" i="10"/>
  <c r="C56" i="10"/>
  <c r="B57" i="10"/>
  <c r="C57" i="10"/>
  <c r="B58" i="10"/>
  <c r="C58" i="10"/>
  <c r="B59" i="10"/>
  <c r="C59" i="10"/>
  <c r="B60" i="10"/>
  <c r="C60" i="10"/>
  <c r="B61" i="10"/>
  <c r="C61" i="10"/>
  <c r="B62" i="10"/>
  <c r="C62" i="10"/>
  <c r="B63" i="10"/>
  <c r="C63" i="10"/>
  <c r="D35" i="10" l="1"/>
  <c r="D36" i="10"/>
  <c r="D34" i="10"/>
  <c r="D63" i="10"/>
  <c r="D51" i="10"/>
  <c r="D39" i="10"/>
  <c r="D57" i="10"/>
  <c r="D45" i="10"/>
  <c r="D37" i="10"/>
  <c r="D62" i="10"/>
  <c r="D56" i="10"/>
  <c r="D50" i="10"/>
  <c r="D44" i="10"/>
  <c r="D38" i="10"/>
  <c r="D61" i="10"/>
  <c r="D55" i="10"/>
  <c r="D49" i="10"/>
  <c r="D43" i="10"/>
  <c r="D60" i="10"/>
  <c r="D54" i="10"/>
  <c r="D48" i="10"/>
  <c r="D42" i="10"/>
  <c r="D59" i="10"/>
  <c r="D53" i="10"/>
  <c r="D47" i="10"/>
  <c r="D41" i="10"/>
  <c r="D58" i="10"/>
  <c r="D52" i="10"/>
  <c r="D46" i="10"/>
  <c r="D40" i="10"/>
  <c r="L595" i="6"/>
  <c r="L604" i="6"/>
  <c r="L606" i="6"/>
  <c r="L600" i="6"/>
  <c r="L599" i="6"/>
  <c r="L605" i="6"/>
  <c r="L598" i="6"/>
  <c r="L597" i="6"/>
  <c r="L596" i="6"/>
  <c r="L608" i="6"/>
  <c r="L609" i="6"/>
  <c r="L602" i="6"/>
  <c r="L607" i="6"/>
  <c r="L603" i="6"/>
  <c r="L601" i="6"/>
  <c r="D595" i="6"/>
  <c r="E595" i="6" s="1"/>
  <c r="D604" i="6"/>
  <c r="E604" i="6" s="1"/>
  <c r="D606" i="6"/>
  <c r="E606" i="6" s="1"/>
  <c r="D600" i="6"/>
  <c r="E600" i="6" s="1"/>
  <c r="D599" i="6"/>
  <c r="E599" i="6" s="1"/>
  <c r="D605" i="6"/>
  <c r="E605" i="6" s="1"/>
  <c r="D598" i="6"/>
  <c r="E598" i="6" s="1"/>
  <c r="D597" i="6"/>
  <c r="E597" i="6" s="1"/>
  <c r="D596" i="6"/>
  <c r="E596" i="6" s="1"/>
  <c r="D608" i="6"/>
  <c r="E608" i="6" s="1"/>
  <c r="D609" i="6"/>
  <c r="E609" i="6" s="1"/>
  <c r="D602" i="6"/>
  <c r="E602" i="6" s="1"/>
  <c r="D607" i="6"/>
  <c r="E607" i="6" s="1"/>
  <c r="D603" i="6"/>
  <c r="E603" i="6" s="1"/>
  <c r="D601" i="6"/>
  <c r="E601" i="6" s="1"/>
  <c r="F602" i="6" l="1"/>
  <c r="F597" i="6"/>
  <c r="F600" i="6"/>
  <c r="F601" i="6"/>
  <c r="F609" i="6"/>
  <c r="F598" i="6"/>
  <c r="F606" i="6"/>
  <c r="F608" i="6"/>
  <c r="F603" i="6"/>
  <c r="F605" i="6"/>
  <c r="F604" i="6"/>
  <c r="F607" i="6"/>
  <c r="F596" i="6"/>
  <c r="F599" i="6"/>
  <c r="F595" i="6"/>
  <c r="L588" i="6"/>
  <c r="L587" i="6"/>
  <c r="L585" i="6"/>
  <c r="L592" i="6"/>
  <c r="L594" i="6"/>
  <c r="L590" i="6"/>
  <c r="L591" i="6"/>
  <c r="L593" i="6"/>
  <c r="L586" i="6"/>
  <c r="L582" i="6"/>
  <c r="L580" i="6"/>
  <c r="L581" i="6"/>
  <c r="L583" i="6"/>
  <c r="L584" i="6"/>
  <c r="L589" i="6"/>
  <c r="D588" i="6"/>
  <c r="E588" i="6" s="1"/>
  <c r="D587" i="6"/>
  <c r="E587" i="6" s="1"/>
  <c r="D585" i="6"/>
  <c r="E585" i="6" s="1"/>
  <c r="D592" i="6"/>
  <c r="E592" i="6" s="1"/>
  <c r="D594" i="6"/>
  <c r="E594" i="6" s="1"/>
  <c r="D590" i="6"/>
  <c r="E590" i="6" s="1"/>
  <c r="D591" i="6"/>
  <c r="E591" i="6" s="1"/>
  <c r="D593" i="6"/>
  <c r="E593" i="6" s="1"/>
  <c r="D586" i="6"/>
  <c r="E586" i="6" s="1"/>
  <c r="D582" i="6"/>
  <c r="E582" i="6" s="1"/>
  <c r="D580" i="6"/>
  <c r="E580" i="6" s="1"/>
  <c r="D581" i="6"/>
  <c r="E581" i="6" s="1"/>
  <c r="D583" i="6"/>
  <c r="E583" i="6" s="1"/>
  <c r="D584" i="6"/>
  <c r="E584" i="6" s="1"/>
  <c r="D589" i="6"/>
  <c r="E589" i="6" s="1"/>
  <c r="F581" i="6" l="1"/>
  <c r="F593" i="6"/>
  <c r="F592" i="6"/>
  <c r="F589" i="6"/>
  <c r="F580" i="6"/>
  <c r="F591" i="6"/>
  <c r="F585" i="6"/>
  <c r="F584" i="6"/>
  <c r="F582" i="6"/>
  <c r="F590" i="6"/>
  <c r="F587" i="6"/>
  <c r="F583" i="6"/>
  <c r="F586" i="6"/>
  <c r="F594" i="6"/>
  <c r="F588" i="6"/>
  <c r="B32" i="10"/>
  <c r="C32" i="10"/>
  <c r="B30" i="10"/>
  <c r="C30" i="10"/>
  <c r="B31" i="10"/>
  <c r="C31" i="10"/>
  <c r="B26" i="10"/>
  <c r="C26" i="10"/>
  <c r="B27" i="10"/>
  <c r="C27" i="10"/>
  <c r="B28" i="10"/>
  <c r="C28" i="10"/>
  <c r="B29" i="10"/>
  <c r="C29" i="10"/>
  <c r="B17" i="10"/>
  <c r="C17" i="10"/>
  <c r="B18" i="10"/>
  <c r="C18" i="10"/>
  <c r="B19" i="10"/>
  <c r="C19" i="10"/>
  <c r="B20" i="10"/>
  <c r="C20" i="10"/>
  <c r="B21" i="10"/>
  <c r="C21" i="10"/>
  <c r="B22" i="10"/>
  <c r="C22" i="10"/>
  <c r="B23" i="10"/>
  <c r="C23" i="10"/>
  <c r="B24" i="10"/>
  <c r="C24" i="10"/>
  <c r="B25" i="10"/>
  <c r="C25" i="10"/>
  <c r="D575" i="6"/>
  <c r="E575" i="6" s="1"/>
  <c r="D576" i="6"/>
  <c r="E576" i="6" s="1"/>
  <c r="D574" i="6"/>
  <c r="E574" i="6" s="1"/>
  <c r="D569" i="6"/>
  <c r="E569" i="6" s="1"/>
  <c r="D573" i="6"/>
  <c r="E573" i="6" s="1"/>
  <c r="D571" i="6"/>
  <c r="E571" i="6" s="1"/>
  <c r="D570" i="6"/>
  <c r="E570" i="6" s="1"/>
  <c r="D579" i="6"/>
  <c r="E579" i="6" s="1"/>
  <c r="D577" i="6"/>
  <c r="E577" i="6" s="1"/>
  <c r="D578" i="6"/>
  <c r="E578" i="6" s="1"/>
  <c r="D572" i="6"/>
  <c r="E572" i="6" s="1"/>
  <c r="L575" i="6"/>
  <c r="L576" i="6"/>
  <c r="L574" i="6"/>
  <c r="L569" i="6"/>
  <c r="L573" i="6"/>
  <c r="L571" i="6"/>
  <c r="L570" i="6"/>
  <c r="L579" i="6"/>
  <c r="L577" i="6"/>
  <c r="L578" i="6"/>
  <c r="L572" i="6"/>
  <c r="D20" i="10" l="1"/>
  <c r="D30" i="10"/>
  <c r="D21" i="10"/>
  <c r="D28" i="10"/>
  <c r="D23" i="10"/>
  <c r="D27" i="10"/>
  <c r="D25" i="10"/>
  <c r="D19" i="10"/>
  <c r="D31" i="10"/>
  <c r="D32" i="10"/>
  <c r="D26" i="10"/>
  <c r="D24" i="10"/>
  <c r="D18" i="10"/>
  <c r="D17" i="10"/>
  <c r="D22" i="10"/>
  <c r="D29" i="10"/>
  <c r="F579" i="6"/>
  <c r="F569" i="6"/>
  <c r="F572" i="6"/>
  <c r="F570" i="6"/>
  <c r="F574" i="6"/>
  <c r="F578" i="6"/>
  <c r="F571" i="6"/>
  <c r="F576" i="6"/>
  <c r="F577" i="6"/>
  <c r="F573" i="6"/>
  <c r="F575" i="6"/>
  <c r="L568" i="6" l="1"/>
  <c r="L565" i="6"/>
  <c r="L566" i="6"/>
  <c r="L567" i="6"/>
  <c r="L564" i="6"/>
  <c r="D568" i="6"/>
  <c r="F568" i="6" s="1"/>
  <c r="D565" i="6"/>
  <c r="E565" i="6" s="1"/>
  <c r="D566" i="6"/>
  <c r="E566" i="6" s="1"/>
  <c r="D567" i="6"/>
  <c r="E567" i="6" s="1"/>
  <c r="D564" i="6"/>
  <c r="E564" i="6" s="1"/>
  <c r="F566" i="6" l="1"/>
  <c r="E568" i="6"/>
  <c r="F564" i="6"/>
  <c r="F565" i="6"/>
  <c r="F567" i="6"/>
  <c r="L554" i="6"/>
  <c r="L556" i="6"/>
  <c r="L557" i="6"/>
  <c r="L546" i="6"/>
  <c r="L558" i="6"/>
  <c r="L555" i="6"/>
  <c r="L545" i="6"/>
  <c r="L559" i="6"/>
  <c r="L544" i="6"/>
  <c r="L561" i="6"/>
  <c r="L553" i="6"/>
  <c r="L547" i="6"/>
  <c r="L552" i="6"/>
  <c r="L549" i="6"/>
  <c r="L548" i="6"/>
  <c r="L550" i="6"/>
  <c r="L551" i="6"/>
  <c r="L562" i="6"/>
  <c r="L560" i="6"/>
  <c r="L563" i="6"/>
  <c r="D554" i="6"/>
  <c r="E554" i="6" s="1"/>
  <c r="D556" i="6"/>
  <c r="E556" i="6" s="1"/>
  <c r="D557" i="6"/>
  <c r="E557" i="6" s="1"/>
  <c r="D546" i="6"/>
  <c r="E546" i="6" s="1"/>
  <c r="D558" i="6"/>
  <c r="E558" i="6" s="1"/>
  <c r="D555" i="6"/>
  <c r="E555" i="6" s="1"/>
  <c r="D545" i="6"/>
  <c r="E545" i="6" s="1"/>
  <c r="D559" i="6"/>
  <c r="E559" i="6" s="1"/>
  <c r="D544" i="6"/>
  <c r="E544" i="6" s="1"/>
  <c r="D561" i="6"/>
  <c r="F561" i="6" s="1"/>
  <c r="D553" i="6"/>
  <c r="F553" i="6" s="1"/>
  <c r="D547" i="6"/>
  <c r="E547" i="6" s="1"/>
  <c r="D552" i="6"/>
  <c r="E552" i="6" s="1"/>
  <c r="D549" i="6"/>
  <c r="E549" i="6" s="1"/>
  <c r="D548" i="6"/>
  <c r="E548" i="6" s="1"/>
  <c r="D550" i="6"/>
  <c r="E550" i="6" s="1"/>
  <c r="D551" i="6"/>
  <c r="E551" i="6" s="1"/>
  <c r="D562" i="6"/>
  <c r="F562" i="6" s="1"/>
  <c r="D560" i="6"/>
  <c r="F560" i="6" s="1"/>
  <c r="D563" i="6"/>
  <c r="E563" i="6" s="1"/>
  <c r="F550" i="6" l="1"/>
  <c r="E553" i="6"/>
  <c r="F547" i="6"/>
  <c r="F545" i="6"/>
  <c r="E560" i="6"/>
  <c r="F563" i="6"/>
  <c r="F546" i="6"/>
  <c r="F557" i="6"/>
  <c r="F559" i="6"/>
  <c r="F548" i="6"/>
  <c r="E562" i="6"/>
  <c r="E561" i="6"/>
  <c r="F558" i="6"/>
  <c r="F552" i="6"/>
  <c r="F556" i="6"/>
  <c r="F551" i="6"/>
  <c r="F544" i="6"/>
  <c r="F554" i="6"/>
  <c r="F549" i="6"/>
  <c r="F555" i="6"/>
  <c r="L542" i="6"/>
  <c r="L540" i="6"/>
  <c r="L539" i="6"/>
  <c r="L543" i="6"/>
  <c r="L541" i="6"/>
  <c r="D542" i="6"/>
  <c r="E542" i="6" s="1"/>
  <c r="D540" i="6"/>
  <c r="E540" i="6" s="1"/>
  <c r="D539" i="6"/>
  <c r="E539" i="6" s="1"/>
  <c r="D543" i="6"/>
  <c r="E543" i="6" s="1"/>
  <c r="D541" i="6"/>
  <c r="E541" i="6" s="1"/>
  <c r="F543" i="6" l="1"/>
  <c r="F539" i="6"/>
  <c r="F540" i="6"/>
  <c r="F542" i="6"/>
  <c r="F541" i="6"/>
  <c r="B12" i="10"/>
  <c r="C12" i="10"/>
  <c r="B13" i="10"/>
  <c r="C13" i="10"/>
  <c r="B14" i="10"/>
  <c r="C14" i="10"/>
  <c r="B15" i="10"/>
  <c r="C15" i="10"/>
  <c r="B16" i="10"/>
  <c r="C16" i="10"/>
  <c r="C8" i="10"/>
  <c r="C9" i="10"/>
  <c r="C10" i="10"/>
  <c r="B8" i="10"/>
  <c r="B9" i="10"/>
  <c r="B10" i="10"/>
  <c r="B11" i="10"/>
  <c r="C11" i="10"/>
  <c r="D16" i="10" l="1"/>
  <c r="D12" i="10"/>
  <c r="D15" i="10"/>
  <c r="D14" i="10"/>
  <c r="D13" i="10"/>
  <c r="D11" i="10"/>
  <c r="D10" i="10"/>
  <c r="D8" i="10"/>
  <c r="D9" i="10"/>
  <c r="L527" i="6"/>
  <c r="L529" i="6"/>
  <c r="L534" i="6"/>
  <c r="L535" i="6"/>
  <c r="L526" i="6"/>
  <c r="L524" i="6"/>
  <c r="L525" i="6"/>
  <c r="L536" i="6"/>
  <c r="L522" i="6"/>
  <c r="L537" i="6"/>
  <c r="L538" i="6"/>
  <c r="L528" i="6"/>
  <c r="L523" i="6"/>
  <c r="L531" i="6"/>
  <c r="L533" i="6"/>
  <c r="L530" i="6"/>
  <c r="L532" i="6"/>
  <c r="D527" i="6"/>
  <c r="E527" i="6" s="1"/>
  <c r="D529" i="6"/>
  <c r="E529" i="6" s="1"/>
  <c r="D534" i="6"/>
  <c r="E534" i="6" s="1"/>
  <c r="D535" i="6"/>
  <c r="F535" i="6" s="1"/>
  <c r="D526" i="6"/>
  <c r="E526" i="6" s="1"/>
  <c r="D524" i="6"/>
  <c r="E524" i="6" s="1"/>
  <c r="D525" i="6"/>
  <c r="E525" i="6" s="1"/>
  <c r="D536" i="6"/>
  <c r="E536" i="6" s="1"/>
  <c r="D522" i="6"/>
  <c r="E522" i="6" s="1"/>
  <c r="D537" i="6"/>
  <c r="E537" i="6" s="1"/>
  <c r="D538" i="6"/>
  <c r="F538" i="6" s="1"/>
  <c r="D528" i="6"/>
  <c r="F528" i="6" s="1"/>
  <c r="D523" i="6"/>
  <c r="E523" i="6" s="1"/>
  <c r="D531" i="6"/>
  <c r="E531" i="6" s="1"/>
  <c r="D533" i="6"/>
  <c r="F533" i="6" s="1"/>
  <c r="D530" i="6"/>
  <c r="E530" i="6" s="1"/>
  <c r="D532" i="6"/>
  <c r="E532" i="6" s="1"/>
  <c r="F537" i="6" l="1"/>
  <c r="E535" i="6"/>
  <c r="F526" i="6"/>
  <c r="F530" i="6"/>
  <c r="E528" i="6"/>
  <c r="F532" i="6"/>
  <c r="E538" i="6"/>
  <c r="F523" i="6"/>
  <c r="F534" i="6"/>
  <c r="E533" i="6"/>
  <c r="F536" i="6"/>
  <c r="F529" i="6"/>
  <c r="F525" i="6"/>
  <c r="F527" i="6"/>
  <c r="F522" i="6"/>
  <c r="F531" i="6"/>
  <c r="F524" i="6"/>
  <c r="L515" i="6"/>
  <c r="L517" i="6"/>
  <c r="L520" i="6"/>
  <c r="L521" i="6"/>
  <c r="L518" i="6"/>
  <c r="L519" i="6"/>
  <c r="L516" i="6"/>
  <c r="D515" i="6"/>
  <c r="E515" i="6" s="1"/>
  <c r="D517" i="6"/>
  <c r="F517" i="6" s="1"/>
  <c r="D520" i="6"/>
  <c r="E520" i="6" s="1"/>
  <c r="D521" i="6"/>
  <c r="E521" i="6" s="1"/>
  <c r="D518" i="6"/>
  <c r="E518" i="6" s="1"/>
  <c r="D519" i="6"/>
  <c r="E519" i="6" s="1"/>
  <c r="D516" i="6"/>
  <c r="F516" i="6" s="1"/>
  <c r="F521" i="6" l="1"/>
  <c r="E516" i="6"/>
  <c r="F520" i="6"/>
  <c r="F519" i="6"/>
  <c r="E517" i="6"/>
  <c r="F518" i="6"/>
  <c r="F515" i="6"/>
  <c r="D507" i="6"/>
  <c r="E507" i="6" s="1"/>
  <c r="D508" i="6"/>
  <c r="E508" i="6" s="1"/>
  <c r="D506" i="6"/>
  <c r="E506" i="6" s="1"/>
  <c r="D511" i="6"/>
  <c r="E511" i="6" s="1"/>
  <c r="D503" i="6"/>
  <c r="E503" i="6" s="1"/>
  <c r="D512" i="6"/>
  <c r="E512" i="6" s="1"/>
  <c r="D509" i="6"/>
  <c r="E509" i="6" s="1"/>
  <c r="D502" i="6"/>
  <c r="E502" i="6" s="1"/>
  <c r="D513" i="6"/>
  <c r="E513" i="6" s="1"/>
  <c r="D514" i="6"/>
  <c r="E514" i="6" s="1"/>
  <c r="D505" i="6"/>
  <c r="E505" i="6" s="1"/>
  <c r="D504" i="6"/>
  <c r="E504" i="6" s="1"/>
  <c r="D510" i="6"/>
  <c r="E510" i="6" s="1"/>
  <c r="L507" i="6"/>
  <c r="L508" i="6"/>
  <c r="L506" i="6"/>
  <c r="L511" i="6"/>
  <c r="L503" i="6"/>
  <c r="L512" i="6"/>
  <c r="L509" i="6"/>
  <c r="L502" i="6"/>
  <c r="L513" i="6"/>
  <c r="L514" i="6"/>
  <c r="L505" i="6"/>
  <c r="L504" i="6"/>
  <c r="L510" i="6"/>
  <c r="F504" i="6" l="1"/>
  <c r="F502" i="6"/>
  <c r="F511" i="6"/>
  <c r="F505" i="6"/>
  <c r="F509" i="6"/>
  <c r="F506" i="6"/>
  <c r="F514" i="6"/>
  <c r="F512" i="6"/>
  <c r="F508" i="6"/>
  <c r="F510" i="6"/>
  <c r="F513" i="6"/>
  <c r="F503" i="6"/>
  <c r="F507" i="6"/>
  <c r="D493" i="6" l="1"/>
  <c r="E493" i="6" s="1"/>
  <c r="D494" i="6"/>
  <c r="E494" i="6" s="1"/>
  <c r="D496" i="6"/>
  <c r="E496" i="6" s="1"/>
  <c r="D498" i="6"/>
  <c r="E498" i="6" s="1"/>
  <c r="D499" i="6"/>
  <c r="E499" i="6" s="1"/>
  <c r="D497" i="6"/>
  <c r="E497" i="6" s="1"/>
  <c r="D500" i="6"/>
  <c r="E500" i="6" s="1"/>
  <c r="D501" i="6"/>
  <c r="E501" i="6" s="1"/>
  <c r="D495" i="6"/>
  <c r="E495" i="6" s="1"/>
  <c r="L493" i="6"/>
  <c r="L494" i="6"/>
  <c r="L496" i="6"/>
  <c r="L498" i="6"/>
  <c r="L499" i="6"/>
  <c r="L497" i="6"/>
  <c r="L500" i="6"/>
  <c r="L501" i="6"/>
  <c r="L495" i="6"/>
  <c r="F501" i="6" l="1"/>
  <c r="F498" i="6"/>
  <c r="F500" i="6"/>
  <c r="F496" i="6"/>
  <c r="F497" i="6"/>
  <c r="F494" i="6"/>
  <c r="F495" i="6"/>
  <c r="F499" i="6"/>
  <c r="F493" i="6"/>
  <c r="L492" i="6" l="1"/>
  <c r="L480" i="6"/>
  <c r="L487" i="6"/>
  <c r="L482" i="6"/>
  <c r="L489" i="6"/>
  <c r="L481" i="6"/>
  <c r="L486" i="6"/>
  <c r="L483" i="6"/>
  <c r="L485" i="6"/>
  <c r="L484" i="6"/>
  <c r="L490" i="6"/>
  <c r="L491" i="6"/>
  <c r="L488" i="6"/>
  <c r="D492" i="6"/>
  <c r="E492" i="6" s="1"/>
  <c r="D480" i="6"/>
  <c r="E480" i="6" s="1"/>
  <c r="D487" i="6"/>
  <c r="E487" i="6" s="1"/>
  <c r="D482" i="6"/>
  <c r="E482" i="6" s="1"/>
  <c r="D489" i="6"/>
  <c r="E489" i="6" s="1"/>
  <c r="D481" i="6"/>
  <c r="E481" i="6" s="1"/>
  <c r="D486" i="6"/>
  <c r="E486" i="6" s="1"/>
  <c r="D483" i="6"/>
  <c r="E483" i="6" s="1"/>
  <c r="D485" i="6"/>
  <c r="E485" i="6" s="1"/>
  <c r="D484" i="6"/>
  <c r="E484" i="6" s="1"/>
  <c r="D490" i="6"/>
  <c r="E490" i="6" s="1"/>
  <c r="D491" i="6"/>
  <c r="E491" i="6" s="1"/>
  <c r="D488" i="6"/>
  <c r="E488" i="6" s="1"/>
  <c r="F491" i="6" l="1"/>
  <c r="F483" i="6"/>
  <c r="F482" i="6"/>
  <c r="F490" i="6"/>
  <c r="F486" i="6"/>
  <c r="F487" i="6"/>
  <c r="F484" i="6"/>
  <c r="F481" i="6"/>
  <c r="F480" i="6"/>
  <c r="F485" i="6"/>
  <c r="F489" i="6"/>
  <c r="F492" i="6"/>
  <c r="F488" i="6"/>
  <c r="L478" i="6" l="1"/>
  <c r="L473" i="6"/>
  <c r="L476" i="6"/>
  <c r="L477" i="6"/>
  <c r="L479" i="6"/>
  <c r="L472" i="6"/>
  <c r="L475" i="6"/>
  <c r="L474" i="6"/>
  <c r="D478" i="6"/>
  <c r="E478" i="6" s="1"/>
  <c r="D473" i="6"/>
  <c r="E473" i="6" s="1"/>
  <c r="D476" i="6"/>
  <c r="F476" i="6" s="1"/>
  <c r="D477" i="6"/>
  <c r="E477" i="6" s="1"/>
  <c r="D479" i="6"/>
  <c r="E479" i="6" s="1"/>
  <c r="D472" i="6"/>
  <c r="E472" i="6" s="1"/>
  <c r="D475" i="6"/>
  <c r="E475" i="6" s="1"/>
  <c r="D474" i="6"/>
  <c r="F474" i="6" s="1"/>
  <c r="E476" i="6" l="1"/>
  <c r="E474" i="6"/>
  <c r="F475" i="6"/>
  <c r="F477" i="6"/>
  <c r="F479" i="6"/>
  <c r="F473" i="6"/>
  <c r="F478" i="6"/>
  <c r="F472" i="6"/>
  <c r="L459" i="6" l="1"/>
  <c r="L464" i="6"/>
  <c r="L465" i="6"/>
  <c r="L460" i="6"/>
  <c r="L466" i="6"/>
  <c r="L467" i="6"/>
  <c r="L468" i="6"/>
  <c r="L461" i="6"/>
  <c r="L462" i="6"/>
  <c r="L463" i="6"/>
  <c r="L471" i="6"/>
  <c r="L470" i="6"/>
  <c r="L469" i="6"/>
  <c r="D459" i="6"/>
  <c r="E459" i="6" s="1"/>
  <c r="D464" i="6"/>
  <c r="E464" i="6" s="1"/>
  <c r="D465" i="6"/>
  <c r="E465" i="6" s="1"/>
  <c r="D460" i="6"/>
  <c r="F460" i="6" s="1"/>
  <c r="D466" i="6"/>
  <c r="E466" i="6" s="1"/>
  <c r="D467" i="6"/>
  <c r="E467" i="6" s="1"/>
  <c r="D468" i="6"/>
  <c r="E468" i="6" s="1"/>
  <c r="D461" i="6"/>
  <c r="F461" i="6" s="1"/>
  <c r="D462" i="6"/>
  <c r="E462" i="6" s="1"/>
  <c r="D463" i="6"/>
  <c r="E463" i="6" s="1"/>
  <c r="D471" i="6"/>
  <c r="E471" i="6" s="1"/>
  <c r="D470" i="6"/>
  <c r="E470" i="6" s="1"/>
  <c r="D469" i="6"/>
  <c r="E469" i="6" s="1"/>
  <c r="E460" i="6" l="1"/>
  <c r="F471" i="6"/>
  <c r="F468" i="6"/>
  <c r="F465" i="6"/>
  <c r="E461" i="6"/>
  <c r="F463" i="6"/>
  <c r="F467" i="6"/>
  <c r="F464" i="6"/>
  <c r="F469" i="6"/>
  <c r="F462" i="6"/>
  <c r="F466" i="6"/>
  <c r="F459" i="6"/>
  <c r="F470" i="6"/>
  <c r="D452" i="6" l="1"/>
  <c r="E452" i="6" s="1"/>
  <c r="D451" i="6"/>
  <c r="F451" i="6" s="1"/>
  <c r="D457" i="6"/>
  <c r="E457" i="6" s="1"/>
  <c r="D453" i="6"/>
  <c r="E453" i="6" s="1"/>
  <c r="D454" i="6"/>
  <c r="E454" i="6" s="1"/>
  <c r="D455" i="6"/>
  <c r="F455" i="6" s="1"/>
  <c r="D458" i="6"/>
  <c r="E458" i="6" s="1"/>
  <c r="D456" i="6"/>
  <c r="E456" i="6" s="1"/>
  <c r="D449" i="6"/>
  <c r="F449" i="6" s="1"/>
  <c r="D450" i="6"/>
  <c r="F450" i="6" s="1"/>
  <c r="L452" i="6"/>
  <c r="L451" i="6"/>
  <c r="L457" i="6"/>
  <c r="L453" i="6"/>
  <c r="L454" i="6"/>
  <c r="L455" i="6"/>
  <c r="L458" i="6"/>
  <c r="L456" i="6"/>
  <c r="L449" i="6"/>
  <c r="L450" i="6"/>
  <c r="E455" i="6" l="1"/>
  <c r="F456" i="6"/>
  <c r="F453" i="6"/>
  <c r="F458" i="6"/>
  <c r="E450" i="6"/>
  <c r="F457" i="6"/>
  <c r="E449" i="6"/>
  <c r="E451" i="6"/>
  <c r="F454" i="6"/>
  <c r="F452" i="6"/>
  <c r="D423" i="6"/>
  <c r="E423" i="6" s="1"/>
  <c r="D422" i="6"/>
  <c r="E422" i="6" s="1"/>
  <c r="D424" i="6"/>
  <c r="E424" i="6" s="1"/>
  <c r="D440" i="6"/>
  <c r="E440" i="6" s="1"/>
  <c r="D439" i="6"/>
  <c r="E439" i="6" s="1"/>
  <c r="D438" i="6"/>
  <c r="E438" i="6" s="1"/>
  <c r="D437" i="6"/>
  <c r="E437" i="6" s="1"/>
  <c r="D436" i="6"/>
  <c r="E436" i="6" s="1"/>
  <c r="D434" i="6"/>
  <c r="E434" i="6" s="1"/>
  <c r="D447" i="6"/>
  <c r="E447" i="6" s="1"/>
  <c r="D443" i="6"/>
  <c r="E443" i="6" s="1"/>
  <c r="D444" i="6"/>
  <c r="E444" i="6" s="1"/>
  <c r="D445" i="6"/>
  <c r="E445" i="6" s="1"/>
  <c r="D446" i="6"/>
  <c r="E446" i="6" s="1"/>
  <c r="D448" i="6"/>
  <c r="E448" i="6" s="1"/>
  <c r="D442" i="6"/>
  <c r="E442" i="6" s="1"/>
  <c r="D435" i="6"/>
  <c r="E435" i="6" s="1"/>
  <c r="D441" i="6"/>
  <c r="E441" i="6" s="1"/>
  <c r="D426" i="6"/>
  <c r="E426" i="6" s="1"/>
  <c r="D428" i="6"/>
  <c r="E428" i="6" s="1"/>
  <c r="D433" i="6"/>
  <c r="E433" i="6" s="1"/>
  <c r="D430" i="6"/>
  <c r="E430" i="6" s="1"/>
  <c r="D432" i="6"/>
  <c r="E432" i="6" s="1"/>
  <c r="D431" i="6"/>
  <c r="E431" i="6" s="1"/>
  <c r="D429" i="6"/>
  <c r="E429" i="6" s="1"/>
  <c r="D427" i="6"/>
  <c r="E427" i="6" s="1"/>
  <c r="D425" i="6"/>
  <c r="E425" i="6" s="1"/>
  <c r="L423" i="6"/>
  <c r="L422" i="6"/>
  <c r="L424" i="6"/>
  <c r="L440" i="6"/>
  <c r="L439" i="6"/>
  <c r="L438" i="6"/>
  <c r="L437" i="6"/>
  <c r="L436" i="6"/>
  <c r="L434" i="6"/>
  <c r="L447" i="6"/>
  <c r="L443" i="6"/>
  <c r="L444" i="6"/>
  <c r="L445" i="6"/>
  <c r="L446" i="6"/>
  <c r="L448" i="6"/>
  <c r="L442" i="6"/>
  <c r="L435" i="6"/>
  <c r="L441" i="6"/>
  <c r="L426" i="6"/>
  <c r="L428" i="6"/>
  <c r="L433" i="6"/>
  <c r="L430" i="6"/>
  <c r="L432" i="6"/>
  <c r="L431" i="6"/>
  <c r="L429" i="6"/>
  <c r="L427" i="6"/>
  <c r="L425" i="6"/>
  <c r="F431" i="6" l="1"/>
  <c r="F428" i="6"/>
  <c r="F442" i="6"/>
  <c r="F444" i="6"/>
  <c r="F436" i="6"/>
  <c r="F440" i="6"/>
  <c r="F425" i="6"/>
  <c r="F432" i="6"/>
  <c r="F426" i="6"/>
  <c r="F448" i="6"/>
  <c r="F443" i="6"/>
  <c r="F437" i="6"/>
  <c r="F424" i="6"/>
  <c r="F427" i="6"/>
  <c r="F422" i="6"/>
  <c r="F430" i="6"/>
  <c r="F441" i="6"/>
  <c r="F446" i="6"/>
  <c r="F447" i="6"/>
  <c r="F438" i="6"/>
  <c r="F429" i="6"/>
  <c r="F433" i="6"/>
  <c r="F435" i="6"/>
  <c r="F445" i="6"/>
  <c r="F434" i="6"/>
  <c r="F439" i="6"/>
  <c r="F423" i="6"/>
  <c r="L420" i="6" l="1"/>
  <c r="L417" i="6"/>
  <c r="L418" i="6"/>
  <c r="L421" i="6"/>
  <c r="L419" i="6"/>
  <c r="D420" i="6"/>
  <c r="E420" i="6" s="1"/>
  <c r="D417" i="6"/>
  <c r="E417" i="6" s="1"/>
  <c r="D418" i="6"/>
  <c r="E418" i="6" s="1"/>
  <c r="D421" i="6"/>
  <c r="E421" i="6" s="1"/>
  <c r="D419" i="6"/>
  <c r="E419" i="6" s="1"/>
  <c r="F418" i="6" l="1"/>
  <c r="F417" i="6"/>
  <c r="F419" i="6"/>
  <c r="F420" i="6"/>
  <c r="F421" i="6"/>
  <c r="L416" i="6" l="1"/>
  <c r="L414" i="6"/>
  <c r="L415" i="6"/>
  <c r="L413" i="6"/>
  <c r="D416" i="6"/>
  <c r="E416" i="6" s="1"/>
  <c r="D414" i="6"/>
  <c r="E414" i="6" s="1"/>
  <c r="D415" i="6"/>
  <c r="E415" i="6" s="1"/>
  <c r="D413" i="6"/>
  <c r="E413" i="6" s="1"/>
  <c r="F413" i="6" l="1"/>
  <c r="F415" i="6"/>
  <c r="F416" i="6"/>
  <c r="F414" i="6"/>
  <c r="D409" i="6" l="1"/>
  <c r="E409" i="6" s="1"/>
  <c r="D410" i="6"/>
  <c r="F410" i="6" s="1"/>
  <c r="D411" i="6"/>
  <c r="E411" i="6" s="1"/>
  <c r="D412" i="6"/>
  <c r="E412" i="6" s="1"/>
  <c r="L409" i="6"/>
  <c r="L410" i="6"/>
  <c r="L411" i="6"/>
  <c r="L412" i="6"/>
  <c r="F411" i="6" l="1"/>
  <c r="F412" i="6"/>
  <c r="E410" i="6"/>
  <c r="F409" i="6"/>
  <c r="L407" i="6"/>
  <c r="L408" i="6"/>
  <c r="L406" i="6"/>
  <c r="D407" i="6"/>
  <c r="E407" i="6" s="1"/>
  <c r="D408" i="6"/>
  <c r="E408" i="6" s="1"/>
  <c r="D406" i="6"/>
  <c r="E406" i="6" s="1"/>
  <c r="F406" i="6" l="1"/>
  <c r="F407" i="6"/>
  <c r="F408" i="6"/>
  <c r="D405" i="6" l="1"/>
  <c r="F405" i="6" s="1"/>
  <c r="D402" i="6"/>
  <c r="E402" i="6" s="1"/>
  <c r="D404" i="6"/>
  <c r="F404" i="6" s="1"/>
  <c r="D392" i="6"/>
  <c r="E392" i="6" s="1"/>
  <c r="D388" i="6"/>
  <c r="F388" i="6" s="1"/>
  <c r="D389" i="6"/>
  <c r="E389" i="6" s="1"/>
  <c r="D393" i="6"/>
  <c r="E393" i="6" s="1"/>
  <c r="D391" i="6"/>
  <c r="E391" i="6" s="1"/>
  <c r="D390" i="6"/>
  <c r="F390" i="6" s="1"/>
  <c r="D394" i="6"/>
  <c r="E394" i="6" s="1"/>
  <c r="D403" i="6"/>
  <c r="E403" i="6" s="1"/>
  <c r="D398" i="6"/>
  <c r="E398" i="6" s="1"/>
  <c r="D397" i="6"/>
  <c r="F397" i="6" s="1"/>
  <c r="D399" i="6"/>
  <c r="E399" i="6" s="1"/>
  <c r="D396" i="6"/>
  <c r="F396" i="6" s="1"/>
  <c r="D400" i="6"/>
  <c r="F400" i="6" s="1"/>
  <c r="D401" i="6"/>
  <c r="F401" i="6" s="1"/>
  <c r="D395" i="6"/>
  <c r="E395" i="6" s="1"/>
  <c r="L405" i="6"/>
  <c r="L402" i="6"/>
  <c r="L404" i="6"/>
  <c r="L392" i="6"/>
  <c r="L388" i="6"/>
  <c r="L389" i="6"/>
  <c r="L393" i="6"/>
  <c r="L391" i="6"/>
  <c r="L390" i="6"/>
  <c r="L394" i="6"/>
  <c r="L403" i="6"/>
  <c r="L398" i="6"/>
  <c r="L397" i="6"/>
  <c r="L399" i="6"/>
  <c r="L396" i="6"/>
  <c r="L400" i="6"/>
  <c r="L401" i="6"/>
  <c r="L395" i="6"/>
  <c r="F398" i="6" l="1"/>
  <c r="E397" i="6"/>
  <c r="E401" i="6"/>
  <c r="E400" i="6"/>
  <c r="E388" i="6"/>
  <c r="F392" i="6"/>
  <c r="E390" i="6"/>
  <c r="E404" i="6"/>
  <c r="F391" i="6"/>
  <c r="E396" i="6"/>
  <c r="E405" i="6"/>
  <c r="F403" i="6"/>
  <c r="F393" i="6"/>
  <c r="F395" i="6"/>
  <c r="F399" i="6"/>
  <c r="F394" i="6"/>
  <c r="F389" i="6"/>
  <c r="F402" i="6"/>
  <c r="D384" i="6" l="1"/>
  <c r="E384" i="6" s="1"/>
  <c r="D382" i="6"/>
  <c r="E382" i="6" s="1"/>
  <c r="D386" i="6"/>
  <c r="E386" i="6" s="1"/>
  <c r="D387" i="6"/>
  <c r="E387" i="6" s="1"/>
  <c r="D385" i="6"/>
  <c r="E385" i="6" s="1"/>
  <c r="D383" i="6"/>
  <c r="E383" i="6" s="1"/>
  <c r="L384" i="6"/>
  <c r="L382" i="6"/>
  <c r="L386" i="6"/>
  <c r="L387" i="6"/>
  <c r="L385" i="6"/>
  <c r="L383" i="6"/>
  <c r="F387" i="6" l="1"/>
  <c r="F386" i="6"/>
  <c r="F383" i="6"/>
  <c r="F382" i="6"/>
  <c r="F385" i="6"/>
  <c r="F384" i="6"/>
  <c r="D381" i="6" l="1"/>
  <c r="F381" i="6" s="1"/>
  <c r="D379" i="6"/>
  <c r="F379" i="6" s="1"/>
  <c r="D377" i="6"/>
  <c r="E377" i="6" s="1"/>
  <c r="D380" i="6"/>
  <c r="E380" i="6" s="1"/>
  <c r="D375" i="6"/>
  <c r="E375" i="6" s="1"/>
  <c r="D378" i="6"/>
  <c r="F378" i="6" s="1"/>
  <c r="D374" i="6"/>
  <c r="E374" i="6" s="1"/>
  <c r="D376" i="6"/>
  <c r="E376" i="6" s="1"/>
  <c r="L381" i="6"/>
  <c r="L379" i="6"/>
  <c r="L377" i="6"/>
  <c r="L380" i="6"/>
  <c r="L375" i="6"/>
  <c r="L378" i="6"/>
  <c r="L374" i="6"/>
  <c r="L376" i="6"/>
  <c r="E378" i="6" l="1"/>
  <c r="E381" i="6"/>
  <c r="F377" i="6"/>
  <c r="F374" i="6"/>
  <c r="F376" i="6"/>
  <c r="E379" i="6"/>
  <c r="F375" i="6"/>
  <c r="F380" i="6"/>
  <c r="D373" i="6"/>
  <c r="E373" i="6" s="1"/>
  <c r="D363" i="6"/>
  <c r="E363" i="6" s="1"/>
  <c r="D362" i="6"/>
  <c r="E362" i="6" s="1"/>
  <c r="D357" i="6"/>
  <c r="E357" i="6" s="1"/>
  <c r="D358" i="6"/>
  <c r="E358" i="6" s="1"/>
  <c r="D361" i="6"/>
  <c r="E361" i="6" s="1"/>
  <c r="D360" i="6"/>
  <c r="E360" i="6" s="1"/>
  <c r="D370" i="6"/>
  <c r="F370" i="6" s="1"/>
  <c r="D354" i="6"/>
  <c r="E354" i="6" s="1"/>
  <c r="D366" i="6"/>
  <c r="E366" i="6" s="1"/>
  <c r="D353" i="6"/>
  <c r="E353" i="6" s="1"/>
  <c r="D367" i="6"/>
  <c r="E367" i="6" s="1"/>
  <c r="D355" i="6"/>
  <c r="E355" i="6" s="1"/>
  <c r="D368" i="6"/>
  <c r="E368" i="6" s="1"/>
  <c r="D364" i="6"/>
  <c r="E364" i="6" s="1"/>
  <c r="D365" i="6"/>
  <c r="E365" i="6" s="1"/>
  <c r="D371" i="6"/>
  <c r="E371" i="6" s="1"/>
  <c r="D356" i="6"/>
  <c r="E356" i="6" s="1"/>
  <c r="D369" i="6"/>
  <c r="F369" i="6" s="1"/>
  <c r="D359" i="6"/>
  <c r="F359" i="6" s="1"/>
  <c r="D372" i="6"/>
  <c r="E372" i="6" s="1"/>
  <c r="L373" i="6"/>
  <c r="L363" i="6"/>
  <c r="L362" i="6"/>
  <c r="L357" i="6"/>
  <c r="L358" i="6"/>
  <c r="L361" i="6"/>
  <c r="L360" i="6"/>
  <c r="L370" i="6"/>
  <c r="L354" i="6"/>
  <c r="L366" i="6"/>
  <c r="L353" i="6"/>
  <c r="L367" i="6"/>
  <c r="L355" i="6"/>
  <c r="L368" i="6"/>
  <c r="L364" i="6"/>
  <c r="L365" i="6"/>
  <c r="L371" i="6"/>
  <c r="L356" i="6"/>
  <c r="L369" i="6"/>
  <c r="L359" i="6"/>
  <c r="L372" i="6"/>
  <c r="E359" i="6" l="1"/>
  <c r="F357" i="6"/>
  <c r="F364" i="6"/>
  <c r="F353" i="6"/>
  <c r="F362" i="6"/>
  <c r="E370" i="6"/>
  <c r="E369" i="6"/>
  <c r="F360" i="6"/>
  <c r="F367" i="6"/>
  <c r="F365" i="6"/>
  <c r="F356" i="6"/>
  <c r="F368" i="6"/>
  <c r="F366" i="6"/>
  <c r="F361" i="6"/>
  <c r="F363" i="6"/>
  <c r="F373" i="6"/>
  <c r="F372" i="6"/>
  <c r="F371" i="6"/>
  <c r="F355" i="6"/>
  <c r="F354" i="6"/>
  <c r="F358" i="6"/>
  <c r="L352" i="6" l="1"/>
  <c r="L347" i="6"/>
  <c r="L351" i="6"/>
  <c r="L343" i="6"/>
  <c r="L342" i="6"/>
  <c r="L345" i="6"/>
  <c r="L344" i="6"/>
  <c r="L348" i="6"/>
  <c r="L349" i="6"/>
  <c r="L346" i="6"/>
  <c r="L350" i="6"/>
  <c r="D352" i="6"/>
  <c r="E352" i="6" s="1"/>
  <c r="D347" i="6"/>
  <c r="E347" i="6" s="1"/>
  <c r="D351" i="6"/>
  <c r="E351" i="6" s="1"/>
  <c r="D343" i="6"/>
  <c r="E343" i="6" s="1"/>
  <c r="D342" i="6"/>
  <c r="E342" i="6" s="1"/>
  <c r="D345" i="6"/>
  <c r="E345" i="6" s="1"/>
  <c r="D344" i="6"/>
  <c r="E344" i="6" s="1"/>
  <c r="D348" i="6"/>
  <c r="E348" i="6" s="1"/>
  <c r="D349" i="6"/>
  <c r="E349" i="6" s="1"/>
  <c r="D346" i="6"/>
  <c r="E346" i="6" s="1"/>
  <c r="D350" i="6"/>
  <c r="E350" i="6" s="1"/>
  <c r="F350" i="6" l="1"/>
  <c r="F344" i="6"/>
  <c r="F351" i="6"/>
  <c r="F348" i="6"/>
  <c r="F343" i="6"/>
  <c r="F346" i="6"/>
  <c r="F345" i="6"/>
  <c r="F347" i="6"/>
  <c r="F349" i="6"/>
  <c r="F342" i="6"/>
  <c r="F352" i="6"/>
  <c r="D320" i="6"/>
  <c r="E320" i="6" s="1"/>
  <c r="D322" i="6"/>
  <c r="E322" i="6" s="1"/>
  <c r="D329" i="6"/>
  <c r="E329" i="6" s="1"/>
  <c r="D341" i="6"/>
  <c r="E341" i="6" s="1"/>
  <c r="D339" i="6"/>
  <c r="E339" i="6" s="1"/>
  <c r="D328" i="6"/>
  <c r="F328" i="6" s="1"/>
  <c r="D335" i="6"/>
  <c r="E335" i="6" s="1"/>
  <c r="D337" i="6"/>
  <c r="F337" i="6" s="1"/>
  <c r="D324" i="6"/>
  <c r="E324" i="6" s="1"/>
  <c r="D327" i="6"/>
  <c r="E327" i="6" s="1"/>
  <c r="D323" i="6"/>
  <c r="E323" i="6" s="1"/>
  <c r="D325" i="6"/>
  <c r="E325" i="6" s="1"/>
  <c r="D326" i="6"/>
  <c r="E326" i="6" s="1"/>
  <c r="D330" i="6"/>
  <c r="F330" i="6" s="1"/>
  <c r="D331" i="6"/>
  <c r="F331" i="6" s="1"/>
  <c r="D334" i="6"/>
  <c r="E334" i="6" s="1"/>
  <c r="L320" i="6"/>
  <c r="L322" i="6"/>
  <c r="L329" i="6"/>
  <c r="L341" i="6"/>
  <c r="L339" i="6"/>
  <c r="L328" i="6"/>
  <c r="L335" i="6"/>
  <c r="L337" i="6"/>
  <c r="L324" i="6"/>
  <c r="L327" i="6"/>
  <c r="L323" i="6"/>
  <c r="L325" i="6"/>
  <c r="L326" i="6"/>
  <c r="L330" i="6"/>
  <c r="L331" i="6"/>
  <c r="L334" i="6"/>
  <c r="D321" i="6"/>
  <c r="E321" i="6" s="1"/>
  <c r="L321" i="6"/>
  <c r="D333" i="6"/>
  <c r="F333" i="6" s="1"/>
  <c r="L333" i="6"/>
  <c r="D332" i="6"/>
  <c r="E332" i="6" s="1"/>
  <c r="L332" i="6"/>
  <c r="D338" i="6"/>
  <c r="F338" i="6" s="1"/>
  <c r="L338" i="6"/>
  <c r="D340" i="6"/>
  <c r="E340" i="6" s="1"/>
  <c r="L340" i="6"/>
  <c r="D336" i="6"/>
  <c r="E336" i="6" s="1"/>
  <c r="L336" i="6"/>
  <c r="E331" i="6" l="1"/>
  <c r="E333" i="6"/>
  <c r="F321" i="6"/>
  <c r="E337" i="6"/>
  <c r="F334" i="6"/>
  <c r="F335" i="6"/>
  <c r="E338" i="6"/>
  <c r="F332" i="6"/>
  <c r="F326" i="6"/>
  <c r="F325" i="6"/>
  <c r="F323" i="6"/>
  <c r="F341" i="6"/>
  <c r="F336" i="6"/>
  <c r="F329" i="6"/>
  <c r="E330" i="6"/>
  <c r="E328" i="6"/>
  <c r="F340" i="6"/>
  <c r="F339" i="6"/>
  <c r="F327" i="6"/>
  <c r="F322" i="6"/>
  <c r="F324" i="6"/>
  <c r="F320" i="6"/>
  <c r="D307" i="6"/>
  <c r="E307" i="6" s="1"/>
  <c r="D315" i="6"/>
  <c r="E315" i="6" s="1"/>
  <c r="D319" i="6"/>
  <c r="E319" i="6" s="1"/>
  <c r="D318" i="6"/>
  <c r="E318" i="6" s="1"/>
  <c r="D309" i="6"/>
  <c r="E309" i="6" s="1"/>
  <c r="D311" i="6"/>
  <c r="E311" i="6" s="1"/>
  <c r="D313" i="6"/>
  <c r="E313" i="6" s="1"/>
  <c r="D317" i="6"/>
  <c r="E317" i="6" s="1"/>
  <c r="D314" i="6"/>
  <c r="E314" i="6" s="1"/>
  <c r="D316" i="6"/>
  <c r="E316" i="6" s="1"/>
  <c r="D310" i="6"/>
  <c r="E310" i="6" s="1"/>
  <c r="D312" i="6"/>
  <c r="E312" i="6" s="1"/>
  <c r="D308" i="6"/>
  <c r="E308" i="6" s="1"/>
  <c r="L307" i="6"/>
  <c r="L315" i="6"/>
  <c r="L319" i="6"/>
  <c r="L318" i="6"/>
  <c r="L309" i="6"/>
  <c r="L311" i="6"/>
  <c r="L313" i="6"/>
  <c r="L317" i="6"/>
  <c r="L314" i="6"/>
  <c r="L316" i="6"/>
  <c r="L310" i="6"/>
  <c r="L312" i="6"/>
  <c r="L308" i="6"/>
  <c r="F312" i="6" l="1"/>
  <c r="F317" i="6"/>
  <c r="F318" i="6"/>
  <c r="F319" i="6"/>
  <c r="F310" i="6"/>
  <c r="F313" i="6"/>
  <c r="F316" i="6"/>
  <c r="F311" i="6"/>
  <c r="F315" i="6"/>
  <c r="F308" i="6"/>
  <c r="F314" i="6"/>
  <c r="F309" i="6"/>
  <c r="F307" i="6"/>
  <c r="D295" i="6"/>
  <c r="E295" i="6" s="1"/>
  <c r="D301" i="6"/>
  <c r="E301" i="6" s="1"/>
  <c r="D300" i="6"/>
  <c r="F300" i="6" s="1"/>
  <c r="D299" i="6"/>
  <c r="E299" i="6" s="1"/>
  <c r="D306" i="6"/>
  <c r="E306" i="6" s="1"/>
  <c r="D302" i="6"/>
  <c r="E302" i="6" s="1"/>
  <c r="D303" i="6"/>
  <c r="E303" i="6" s="1"/>
  <c r="D298" i="6"/>
  <c r="E298" i="6" s="1"/>
  <c r="D305" i="6"/>
  <c r="E305" i="6" s="1"/>
  <c r="D304" i="6"/>
  <c r="F304" i="6" s="1"/>
  <c r="D297" i="6"/>
  <c r="E297" i="6" s="1"/>
  <c r="D296" i="6"/>
  <c r="E296" i="6" s="1"/>
  <c r="L295" i="6"/>
  <c r="L301" i="6"/>
  <c r="L300" i="6"/>
  <c r="L299" i="6"/>
  <c r="L306" i="6"/>
  <c r="L302" i="6"/>
  <c r="L303" i="6"/>
  <c r="L298" i="6"/>
  <c r="L305" i="6"/>
  <c r="L304" i="6"/>
  <c r="L297" i="6"/>
  <c r="L296" i="6"/>
  <c r="E300" i="6" l="1"/>
  <c r="E304" i="6"/>
  <c r="F296" i="6"/>
  <c r="F299" i="6"/>
  <c r="F298" i="6"/>
  <c r="F297" i="6"/>
  <c r="F303" i="6"/>
  <c r="F306" i="6"/>
  <c r="F301" i="6"/>
  <c r="F295" i="6"/>
  <c r="F305" i="6"/>
  <c r="F302" i="6"/>
  <c r="D291" i="6" l="1"/>
  <c r="E291" i="6" s="1"/>
  <c r="D293" i="6"/>
  <c r="E293" i="6" s="1"/>
  <c r="D289" i="6"/>
  <c r="E289" i="6" s="1"/>
  <c r="D290" i="6"/>
  <c r="F290" i="6" s="1"/>
  <c r="D286" i="6"/>
  <c r="E286" i="6" s="1"/>
  <c r="D285" i="6"/>
  <c r="E285" i="6" s="1"/>
  <c r="D287" i="6"/>
  <c r="E287" i="6" s="1"/>
  <c r="D288" i="6"/>
  <c r="E288" i="6" s="1"/>
  <c r="D294" i="6"/>
  <c r="E294" i="6" s="1"/>
  <c r="D292" i="6"/>
  <c r="E292" i="6" s="1"/>
  <c r="L291" i="6"/>
  <c r="L293" i="6"/>
  <c r="L289" i="6"/>
  <c r="L290" i="6"/>
  <c r="L286" i="6"/>
  <c r="L285" i="6"/>
  <c r="L287" i="6"/>
  <c r="L288" i="6"/>
  <c r="L294" i="6"/>
  <c r="L292" i="6"/>
  <c r="E290" i="6" l="1"/>
  <c r="F288" i="6"/>
  <c r="F293" i="6"/>
  <c r="F287" i="6"/>
  <c r="F289" i="6"/>
  <c r="F292" i="6"/>
  <c r="F285" i="6"/>
  <c r="F291" i="6"/>
  <c r="F294" i="6"/>
  <c r="F286" i="6"/>
  <c r="L272" i="6"/>
  <c r="L274" i="6"/>
  <c r="L273" i="6"/>
  <c r="D272" i="6"/>
  <c r="E272" i="6" s="1"/>
  <c r="D274" i="6"/>
  <c r="E274" i="6" s="1"/>
  <c r="D273" i="6"/>
  <c r="E273" i="6" s="1"/>
  <c r="L271" i="6"/>
  <c r="L262" i="6"/>
  <c r="L267" i="6"/>
  <c r="L281" i="6"/>
  <c r="L277" i="6"/>
  <c r="L278" i="6"/>
  <c r="L269" i="6"/>
  <c r="L284" i="6"/>
  <c r="L283" i="6"/>
  <c r="L275" i="6"/>
  <c r="L279" i="6"/>
  <c r="L270" i="6"/>
  <c r="L265" i="6"/>
  <c r="L266" i="6"/>
  <c r="L280" i="6"/>
  <c r="L264" i="6"/>
  <c r="L268" i="6"/>
  <c r="L282" i="6"/>
  <c r="L263" i="6"/>
  <c r="L276" i="6"/>
  <c r="D271" i="6"/>
  <c r="E271" i="6" s="1"/>
  <c r="D262" i="6"/>
  <c r="E262" i="6" s="1"/>
  <c r="D267" i="6"/>
  <c r="E267" i="6" s="1"/>
  <c r="D281" i="6"/>
  <c r="E281" i="6" s="1"/>
  <c r="D277" i="6"/>
  <c r="E277" i="6" s="1"/>
  <c r="D278" i="6"/>
  <c r="E278" i="6" s="1"/>
  <c r="D269" i="6"/>
  <c r="E269" i="6" s="1"/>
  <c r="D284" i="6"/>
  <c r="E284" i="6" s="1"/>
  <c r="D283" i="6"/>
  <c r="E283" i="6" s="1"/>
  <c r="D275" i="6"/>
  <c r="E275" i="6" s="1"/>
  <c r="D279" i="6"/>
  <c r="F279" i="6" s="1"/>
  <c r="D270" i="6"/>
  <c r="F270" i="6" s="1"/>
  <c r="D265" i="6"/>
  <c r="E265" i="6" s="1"/>
  <c r="D266" i="6"/>
  <c r="E266" i="6" s="1"/>
  <c r="D280" i="6"/>
  <c r="F280" i="6" s="1"/>
  <c r="D264" i="6"/>
  <c r="F264" i="6" s="1"/>
  <c r="D268" i="6"/>
  <c r="E268" i="6" s="1"/>
  <c r="D282" i="6"/>
  <c r="E282" i="6" s="1"/>
  <c r="D263" i="6"/>
  <c r="F263" i="6" s="1"/>
  <c r="D276" i="6"/>
  <c r="F276" i="6" s="1"/>
  <c r="E276" i="6" l="1"/>
  <c r="E270" i="6"/>
  <c r="E264" i="6"/>
  <c r="F265" i="6"/>
  <c r="F277" i="6"/>
  <c r="E279" i="6"/>
  <c r="F268" i="6"/>
  <c r="F274" i="6"/>
  <c r="F273" i="6"/>
  <c r="F272" i="6"/>
  <c r="F267" i="6"/>
  <c r="E263" i="6"/>
  <c r="E280" i="6"/>
  <c r="F281" i="6"/>
  <c r="F284" i="6"/>
  <c r="F262" i="6"/>
  <c r="F282" i="6"/>
  <c r="F275" i="6"/>
  <c r="F269" i="6"/>
  <c r="F271" i="6"/>
  <c r="F283" i="6"/>
  <c r="F266" i="6"/>
  <c r="F278" i="6"/>
  <c r="D259" i="6" l="1"/>
  <c r="E259" i="6" s="1"/>
  <c r="D253" i="6"/>
  <c r="E253" i="6" s="1"/>
  <c r="D254" i="6"/>
  <c r="E254" i="6" s="1"/>
  <c r="D249" i="6"/>
  <c r="E249" i="6" s="1"/>
  <c r="D250" i="6"/>
  <c r="E250" i="6" s="1"/>
  <c r="D246" i="6"/>
  <c r="E246" i="6" s="1"/>
  <c r="D247" i="6"/>
  <c r="E247" i="6" s="1"/>
  <c r="D252" i="6"/>
  <c r="E252" i="6" s="1"/>
  <c r="D245" i="6"/>
  <c r="E245" i="6" s="1"/>
  <c r="D251" i="6"/>
  <c r="E251" i="6" s="1"/>
  <c r="D257" i="6"/>
  <c r="E257" i="6" s="1"/>
  <c r="D255" i="6"/>
  <c r="E255" i="6" s="1"/>
  <c r="D248" i="6"/>
  <c r="E248" i="6" s="1"/>
  <c r="D261" i="6"/>
  <c r="F261" i="6" s="1"/>
  <c r="D258" i="6"/>
  <c r="E258" i="6" s="1"/>
  <c r="D256" i="6"/>
  <c r="E256" i="6" s="1"/>
  <c r="D260" i="6"/>
  <c r="E260" i="6" s="1"/>
  <c r="L259" i="6"/>
  <c r="L253" i="6"/>
  <c r="L254" i="6"/>
  <c r="L249" i="6"/>
  <c r="L250" i="6"/>
  <c r="L246" i="6"/>
  <c r="L247" i="6"/>
  <c r="L252" i="6"/>
  <c r="L245" i="6"/>
  <c r="L251" i="6"/>
  <c r="L257" i="6"/>
  <c r="L255" i="6"/>
  <c r="L248" i="6"/>
  <c r="L261" i="6"/>
  <c r="L258" i="6"/>
  <c r="L256" i="6"/>
  <c r="L260" i="6"/>
  <c r="E261" i="6" l="1"/>
  <c r="F246" i="6"/>
  <c r="F251" i="6"/>
  <c r="F253" i="6"/>
  <c r="F256" i="6"/>
  <c r="F255" i="6"/>
  <c r="F252" i="6"/>
  <c r="F249" i="6"/>
  <c r="F258" i="6"/>
  <c r="F257" i="6"/>
  <c r="F247" i="6"/>
  <c r="F254" i="6"/>
  <c r="F248" i="6"/>
  <c r="F245" i="6"/>
  <c r="F250" i="6"/>
  <c r="F259" i="6"/>
  <c r="F260" i="6"/>
  <c r="D239" i="6" l="1"/>
  <c r="E239" i="6" s="1"/>
  <c r="D242" i="6"/>
  <c r="E242" i="6" s="1"/>
  <c r="D241" i="6"/>
  <c r="E241" i="6" s="1"/>
  <c r="D240" i="6"/>
  <c r="E240" i="6" s="1"/>
  <c r="D236" i="6"/>
  <c r="E236" i="6" s="1"/>
  <c r="D244" i="6"/>
  <c r="E244" i="6" s="1"/>
  <c r="D243" i="6"/>
  <c r="E243" i="6" s="1"/>
  <c r="D238" i="6"/>
  <c r="E238" i="6" s="1"/>
  <c r="D237" i="6"/>
  <c r="E237" i="6" s="1"/>
  <c r="L239" i="6"/>
  <c r="L242" i="6"/>
  <c r="L241" i="6"/>
  <c r="L240" i="6"/>
  <c r="L236" i="6"/>
  <c r="L244" i="6"/>
  <c r="L243" i="6"/>
  <c r="L238" i="6"/>
  <c r="L237" i="6"/>
  <c r="F238" i="6" l="1"/>
  <c r="F240" i="6"/>
  <c r="F243" i="6"/>
  <c r="F241" i="6"/>
  <c r="F244" i="6"/>
  <c r="F242" i="6"/>
  <c r="F237" i="6"/>
  <c r="F236" i="6"/>
  <c r="F239" i="6"/>
  <c r="D234" i="6"/>
  <c r="E234" i="6" s="1"/>
  <c r="D227" i="6"/>
  <c r="E227" i="6" s="1"/>
  <c r="D235" i="6"/>
  <c r="E235" i="6" s="1"/>
  <c r="D228" i="6"/>
  <c r="E228" i="6" s="1"/>
  <c r="D233" i="6"/>
  <c r="E233" i="6" s="1"/>
  <c r="D232" i="6"/>
  <c r="E232" i="6" s="1"/>
  <c r="D225" i="6"/>
  <c r="E225" i="6" s="1"/>
  <c r="D226" i="6"/>
  <c r="E226" i="6" s="1"/>
  <c r="D229" i="6"/>
  <c r="E229" i="6" s="1"/>
  <c r="D230" i="6"/>
  <c r="E230" i="6" s="1"/>
  <c r="D231" i="6"/>
  <c r="E231" i="6" s="1"/>
  <c r="L234" i="6"/>
  <c r="L227" i="6"/>
  <c r="L235" i="6"/>
  <c r="L228" i="6"/>
  <c r="L233" i="6"/>
  <c r="L232" i="6"/>
  <c r="L225" i="6"/>
  <c r="L226" i="6"/>
  <c r="L229" i="6"/>
  <c r="L230" i="6"/>
  <c r="L231" i="6"/>
  <c r="F226" i="6" l="1"/>
  <c r="F228" i="6"/>
  <c r="F231" i="6"/>
  <c r="F225" i="6"/>
  <c r="F235" i="6"/>
  <c r="F232" i="6"/>
  <c r="F230" i="6"/>
  <c r="F227" i="6"/>
  <c r="F229" i="6"/>
  <c r="F233" i="6"/>
  <c r="F234" i="6"/>
  <c r="D209" i="6" l="1"/>
  <c r="E209" i="6" s="1"/>
  <c r="D202" i="6"/>
  <c r="F202" i="6" s="1"/>
  <c r="D215" i="6"/>
  <c r="F215" i="6" s="1"/>
  <c r="D213" i="6"/>
  <c r="E213" i="6" s="1"/>
  <c r="D212" i="6"/>
  <c r="E212" i="6" s="1"/>
  <c r="D214" i="6"/>
  <c r="F214" i="6" s="1"/>
  <c r="D208" i="6"/>
  <c r="F208" i="6" s="1"/>
  <c r="D219" i="6"/>
  <c r="E219" i="6" s="1"/>
  <c r="D210" i="6"/>
  <c r="E210" i="6" s="1"/>
  <c r="D207" i="6"/>
  <c r="F207" i="6" s="1"/>
  <c r="D206" i="6"/>
  <c r="E206" i="6" s="1"/>
  <c r="D205" i="6"/>
  <c r="E205" i="6" s="1"/>
  <c r="D211" i="6"/>
  <c r="E211" i="6" s="1"/>
  <c r="D224" i="6"/>
  <c r="F224" i="6" s="1"/>
  <c r="D221" i="6"/>
  <c r="E221" i="6" s="1"/>
  <c r="D220" i="6"/>
  <c r="F220" i="6" s="1"/>
  <c r="D223" i="6"/>
  <c r="E223" i="6" s="1"/>
  <c r="D222" i="6"/>
  <c r="F222" i="6" s="1"/>
  <c r="D204" i="6"/>
  <c r="F204" i="6" s="1"/>
  <c r="D217" i="6"/>
  <c r="E217" i="6" s="1"/>
  <c r="D203" i="6"/>
  <c r="E203" i="6" s="1"/>
  <c r="D218" i="6"/>
  <c r="F218" i="6" s="1"/>
  <c r="D216" i="6"/>
  <c r="E216" i="6" s="1"/>
  <c r="L209" i="6"/>
  <c r="L202" i="6"/>
  <c r="L215" i="6"/>
  <c r="L213" i="6"/>
  <c r="L212" i="6"/>
  <c r="L214" i="6"/>
  <c r="L208" i="6"/>
  <c r="L219" i="6"/>
  <c r="L210" i="6"/>
  <c r="L207" i="6"/>
  <c r="L206" i="6"/>
  <c r="L205" i="6"/>
  <c r="L211" i="6"/>
  <c r="L224" i="6"/>
  <c r="L221" i="6"/>
  <c r="L220" i="6"/>
  <c r="L223" i="6"/>
  <c r="L222" i="6"/>
  <c r="L204" i="6"/>
  <c r="L217" i="6"/>
  <c r="L203" i="6"/>
  <c r="L218" i="6"/>
  <c r="L216" i="6"/>
  <c r="F216" i="6" l="1"/>
  <c r="F205" i="6"/>
  <c r="E218" i="6"/>
  <c r="F219" i="6"/>
  <c r="E208" i="6"/>
  <c r="E224" i="6"/>
  <c r="E215" i="6"/>
  <c r="E207" i="6"/>
  <c r="E204" i="6"/>
  <c r="E222" i="6"/>
  <c r="E220" i="6"/>
  <c r="E214" i="6"/>
  <c r="E202" i="6"/>
  <c r="F217" i="6"/>
  <c r="F213" i="6"/>
  <c r="F221" i="6"/>
  <c r="F206" i="6"/>
  <c r="F212" i="6"/>
  <c r="F203" i="6"/>
  <c r="F211" i="6"/>
  <c r="F223" i="6"/>
  <c r="F210" i="6"/>
  <c r="F209" i="6"/>
  <c r="L196" i="6"/>
  <c r="L189" i="6"/>
  <c r="L198" i="6"/>
  <c r="L199" i="6"/>
  <c r="L193" i="6"/>
  <c r="L190" i="6"/>
  <c r="L194" i="6"/>
  <c r="L197" i="6"/>
  <c r="L201" i="6"/>
  <c r="L195" i="6"/>
  <c r="L192" i="6"/>
  <c r="L191" i="6"/>
  <c r="L200" i="6"/>
  <c r="D196" i="6"/>
  <c r="E196" i="6" s="1"/>
  <c r="D189" i="6"/>
  <c r="E189" i="6" s="1"/>
  <c r="D198" i="6"/>
  <c r="F198" i="6" s="1"/>
  <c r="D199" i="6"/>
  <c r="E199" i="6" s="1"/>
  <c r="D193" i="6"/>
  <c r="E193" i="6" s="1"/>
  <c r="D190" i="6"/>
  <c r="E190" i="6" s="1"/>
  <c r="D194" i="6"/>
  <c r="F194" i="6" s="1"/>
  <c r="D197" i="6"/>
  <c r="E197" i="6" s="1"/>
  <c r="D201" i="6"/>
  <c r="E201" i="6" s="1"/>
  <c r="D195" i="6"/>
  <c r="E195" i="6" s="1"/>
  <c r="D192" i="6"/>
  <c r="F192" i="6" s="1"/>
  <c r="D191" i="6"/>
  <c r="E191" i="6" s="1"/>
  <c r="D200" i="6"/>
  <c r="E200" i="6" s="1"/>
  <c r="E194" i="6" l="1"/>
  <c r="E198" i="6"/>
  <c r="F195" i="6"/>
  <c r="F189" i="6"/>
  <c r="E192" i="6"/>
  <c r="F191" i="6"/>
  <c r="F197" i="6"/>
  <c r="F199" i="6"/>
  <c r="F190" i="6"/>
  <c r="F200" i="6"/>
  <c r="F201" i="6"/>
  <c r="F193" i="6"/>
  <c r="F196" i="6"/>
  <c r="D170" i="6"/>
  <c r="E170" i="6" s="1"/>
  <c r="D169" i="6"/>
  <c r="F169" i="6" s="1"/>
  <c r="D175" i="6"/>
  <c r="F175" i="6" s="1"/>
  <c r="D176" i="6"/>
  <c r="F176" i="6" s="1"/>
  <c r="D188" i="6"/>
  <c r="E188" i="6" s="1"/>
  <c r="D178" i="6"/>
  <c r="E178" i="6" s="1"/>
  <c r="D179" i="6"/>
  <c r="E179" i="6" s="1"/>
  <c r="D184" i="6"/>
  <c r="E184" i="6" s="1"/>
  <c r="D177" i="6"/>
  <c r="E177" i="6" s="1"/>
  <c r="D187" i="6"/>
  <c r="E187" i="6" s="1"/>
  <c r="D180" i="6"/>
  <c r="F180" i="6" s="1"/>
  <c r="D181" i="6"/>
  <c r="F181" i="6" s="1"/>
  <c r="D185" i="6"/>
  <c r="E185" i="6" s="1"/>
  <c r="D174" i="6"/>
  <c r="E174" i="6" s="1"/>
  <c r="D171" i="6"/>
  <c r="E171" i="6" s="1"/>
  <c r="D183" i="6"/>
  <c r="E183" i="6" s="1"/>
  <c r="D182" i="6"/>
  <c r="E182" i="6" s="1"/>
  <c r="D173" i="6"/>
  <c r="F173" i="6" s="1"/>
  <c r="D172" i="6"/>
  <c r="F172" i="6" s="1"/>
  <c r="D186" i="6"/>
  <c r="F186" i="6" s="1"/>
  <c r="L170" i="6"/>
  <c r="L169" i="6"/>
  <c r="L175" i="6"/>
  <c r="L176" i="6"/>
  <c r="L188" i="6"/>
  <c r="L178" i="6"/>
  <c r="L179" i="6"/>
  <c r="L184" i="6"/>
  <c r="L177" i="6"/>
  <c r="L187" i="6"/>
  <c r="L180" i="6"/>
  <c r="L181" i="6"/>
  <c r="L185" i="6"/>
  <c r="L174" i="6"/>
  <c r="L171" i="6"/>
  <c r="L183" i="6"/>
  <c r="L182" i="6"/>
  <c r="L173" i="6"/>
  <c r="L172" i="6"/>
  <c r="L186" i="6"/>
  <c r="E175" i="6" l="1"/>
  <c r="F184" i="6"/>
  <c r="E173" i="6"/>
  <c r="F183" i="6"/>
  <c r="F187" i="6"/>
  <c r="E180" i="6"/>
  <c r="E172" i="6"/>
  <c r="F182" i="6"/>
  <c r="E176" i="6"/>
  <c r="E186" i="6"/>
  <c r="E181" i="6"/>
  <c r="F179" i="6"/>
  <c r="E169" i="6"/>
  <c r="F171" i="6"/>
  <c r="F188" i="6"/>
  <c r="F185" i="6"/>
  <c r="F177" i="6"/>
  <c r="F170" i="6"/>
  <c r="F174" i="6"/>
  <c r="F178" i="6"/>
  <c r="D164" i="6"/>
  <c r="E164" i="6" s="1"/>
  <c r="D161" i="6"/>
  <c r="E161" i="6" s="1"/>
  <c r="D163" i="6"/>
  <c r="E163" i="6" s="1"/>
  <c r="D167" i="6"/>
  <c r="E167" i="6" s="1"/>
  <c r="D165" i="6"/>
  <c r="E165" i="6" s="1"/>
  <c r="D168" i="6"/>
  <c r="E168" i="6" s="1"/>
  <c r="D157" i="6"/>
  <c r="E157" i="6" s="1"/>
  <c r="D166" i="6"/>
  <c r="F166" i="6" s="1"/>
  <c r="D160" i="6"/>
  <c r="E160" i="6" s="1"/>
  <c r="D159" i="6"/>
  <c r="E159" i="6" s="1"/>
  <c r="D162" i="6"/>
  <c r="E162" i="6" s="1"/>
  <c r="D158" i="6"/>
  <c r="F158" i="6" s="1"/>
  <c r="L164" i="6"/>
  <c r="L161" i="6"/>
  <c r="L163" i="6"/>
  <c r="L167" i="6"/>
  <c r="L165" i="6"/>
  <c r="L168" i="6"/>
  <c r="L157" i="6"/>
  <c r="L166" i="6"/>
  <c r="L160" i="6"/>
  <c r="L159" i="6"/>
  <c r="L162" i="6"/>
  <c r="L158" i="6"/>
  <c r="E158" i="6" l="1"/>
  <c r="E166" i="6"/>
  <c r="F167" i="6"/>
  <c r="F162" i="6"/>
  <c r="F157" i="6"/>
  <c r="F163" i="6"/>
  <c r="F168" i="6"/>
  <c r="F161" i="6"/>
  <c r="F159" i="6"/>
  <c r="F160" i="6"/>
  <c r="F165" i="6"/>
  <c r="F164" i="6"/>
  <c r="D155" i="6" l="1"/>
  <c r="E155" i="6" s="1"/>
  <c r="D140" i="6"/>
  <c r="E140" i="6" s="1"/>
  <c r="D145" i="6"/>
  <c r="E145" i="6" s="1"/>
  <c r="D147" i="6"/>
  <c r="E147" i="6" s="1"/>
  <c r="D154" i="6"/>
  <c r="E154" i="6" s="1"/>
  <c r="D153" i="6"/>
  <c r="E153" i="6" s="1"/>
  <c r="D141" i="6"/>
  <c r="E141" i="6" s="1"/>
  <c r="D143" i="6"/>
  <c r="E143" i="6" s="1"/>
  <c r="D156" i="6"/>
  <c r="E156" i="6" s="1"/>
  <c r="D152" i="6"/>
  <c r="E152" i="6" s="1"/>
  <c r="D142" i="6"/>
  <c r="E142" i="6" s="1"/>
  <c r="D151" i="6"/>
  <c r="E151" i="6" s="1"/>
  <c r="D146" i="6"/>
  <c r="E146" i="6" s="1"/>
  <c r="D149" i="6"/>
  <c r="E149" i="6" s="1"/>
  <c r="D148" i="6"/>
  <c r="E148" i="6" s="1"/>
  <c r="D150" i="6"/>
  <c r="E150" i="6" s="1"/>
  <c r="D144" i="6"/>
  <c r="E144" i="6" s="1"/>
  <c r="L155" i="6"/>
  <c r="L140" i="6"/>
  <c r="L145" i="6"/>
  <c r="L147" i="6"/>
  <c r="L154" i="6"/>
  <c r="L153" i="6"/>
  <c r="L141" i="6"/>
  <c r="L143" i="6"/>
  <c r="L156" i="6"/>
  <c r="L152" i="6"/>
  <c r="L142" i="6"/>
  <c r="L151" i="6"/>
  <c r="L146" i="6"/>
  <c r="L149" i="6"/>
  <c r="L148" i="6"/>
  <c r="L150" i="6"/>
  <c r="L144" i="6"/>
  <c r="F150" i="6" l="1"/>
  <c r="F143" i="6"/>
  <c r="F151" i="6"/>
  <c r="F147" i="6"/>
  <c r="F145" i="6"/>
  <c r="F148" i="6"/>
  <c r="F142" i="6"/>
  <c r="F141" i="6"/>
  <c r="F152" i="6"/>
  <c r="F140" i="6"/>
  <c r="F149" i="6"/>
  <c r="F153" i="6"/>
  <c r="F144" i="6"/>
  <c r="F146" i="6"/>
  <c r="F156" i="6"/>
  <c r="F154" i="6"/>
  <c r="F155" i="6"/>
  <c r="D121" i="6"/>
  <c r="F121" i="6" s="1"/>
  <c r="L121" i="6"/>
  <c r="L120" i="6"/>
  <c r="L122" i="6"/>
  <c r="L137" i="6"/>
  <c r="L138" i="6"/>
  <c r="D120" i="6"/>
  <c r="E120" i="6" s="1"/>
  <c r="D122" i="6"/>
  <c r="E122" i="6" s="1"/>
  <c r="D137" i="6"/>
  <c r="E137" i="6" s="1"/>
  <c r="D138" i="6"/>
  <c r="E138" i="6" s="1"/>
  <c r="E121" i="6" l="1"/>
  <c r="F138" i="6"/>
  <c r="F137" i="6"/>
  <c r="F122" i="6"/>
  <c r="F120" i="6"/>
  <c r="D133" i="6"/>
  <c r="E133" i="6" s="1"/>
  <c r="D135" i="6"/>
  <c r="E135" i="6" s="1"/>
  <c r="D126" i="6"/>
  <c r="E126" i="6" s="1"/>
  <c r="D123" i="6"/>
  <c r="E123" i="6" s="1"/>
  <c r="D124" i="6"/>
  <c r="E124" i="6" s="1"/>
  <c r="D139" i="6"/>
  <c r="F139" i="6" s="1"/>
  <c r="D129" i="6"/>
  <c r="E129" i="6" s="1"/>
  <c r="D131" i="6"/>
  <c r="E131" i="6" s="1"/>
  <c r="D128" i="6"/>
  <c r="E128" i="6" s="1"/>
  <c r="D134" i="6"/>
  <c r="E134" i="6" s="1"/>
  <c r="D130" i="6"/>
  <c r="F130" i="6" s="1"/>
  <c r="D132" i="6"/>
  <c r="E132" i="6" s="1"/>
  <c r="D127" i="6"/>
  <c r="F127" i="6" s="1"/>
  <c r="D136" i="6"/>
  <c r="F136" i="6" s="1"/>
  <c r="D125" i="6"/>
  <c r="E125" i="6" s="1"/>
  <c r="L133" i="6"/>
  <c r="L135" i="6"/>
  <c r="L126" i="6"/>
  <c r="L123" i="6"/>
  <c r="L124" i="6"/>
  <c r="L139" i="6"/>
  <c r="L129" i="6"/>
  <c r="L131" i="6"/>
  <c r="L128" i="6"/>
  <c r="L134" i="6"/>
  <c r="L130" i="6"/>
  <c r="L132" i="6"/>
  <c r="L127" i="6"/>
  <c r="L136" i="6"/>
  <c r="L125" i="6"/>
  <c r="F124" i="6" l="1"/>
  <c r="E130" i="6"/>
  <c r="E139" i="6"/>
  <c r="E136" i="6"/>
  <c r="E127" i="6"/>
  <c r="F131" i="6"/>
  <c r="F126" i="6"/>
  <c r="F129" i="6"/>
  <c r="F132" i="6"/>
  <c r="F135" i="6"/>
  <c r="F125" i="6"/>
  <c r="F134" i="6"/>
  <c r="F123" i="6"/>
  <c r="F128" i="6"/>
  <c r="F133" i="6"/>
  <c r="L110" i="6" l="1"/>
  <c r="L111" i="6"/>
  <c r="L112" i="6"/>
  <c r="L113" i="6"/>
  <c r="L114" i="6"/>
  <c r="L115" i="6"/>
  <c r="L116" i="6"/>
  <c r="L117" i="6"/>
  <c r="L118" i="6"/>
  <c r="L119" i="6"/>
  <c r="D110" i="6"/>
  <c r="E110" i="6" s="1"/>
  <c r="D111" i="6"/>
  <c r="E111" i="6" s="1"/>
  <c r="D112" i="6"/>
  <c r="F112" i="6" s="1"/>
  <c r="D113" i="6"/>
  <c r="E113" i="6" s="1"/>
  <c r="D114" i="6"/>
  <c r="E114" i="6" s="1"/>
  <c r="D115" i="6"/>
  <c r="F115" i="6" s="1"/>
  <c r="D116" i="6"/>
  <c r="E116" i="6" s="1"/>
  <c r="D117" i="6"/>
  <c r="F117" i="6" s="1"/>
  <c r="D118" i="6"/>
  <c r="E118" i="6" s="1"/>
  <c r="D119" i="6"/>
  <c r="F119" i="6" s="1"/>
  <c r="E112" i="6" l="1"/>
  <c r="E117" i="6"/>
  <c r="F116" i="6"/>
  <c r="E115" i="6"/>
  <c r="E119" i="6"/>
  <c r="F114" i="6"/>
  <c r="F111" i="6"/>
  <c r="F113" i="6"/>
  <c r="F118" i="6"/>
  <c r="F110" i="6"/>
  <c r="D105" i="6"/>
  <c r="E105" i="6" s="1"/>
  <c r="D101" i="6"/>
  <c r="E101" i="6" s="1"/>
  <c r="D108" i="6"/>
  <c r="F108" i="6" s="1"/>
  <c r="D107" i="6"/>
  <c r="E107" i="6" s="1"/>
  <c r="D102" i="6"/>
  <c r="E102" i="6" s="1"/>
  <c r="D100" i="6"/>
  <c r="E100" i="6" s="1"/>
  <c r="D109" i="6"/>
  <c r="F109" i="6" s="1"/>
  <c r="D103" i="6"/>
  <c r="F103" i="6" s="1"/>
  <c r="D104" i="6"/>
  <c r="E104" i="6" s="1"/>
  <c r="D106" i="6"/>
  <c r="E106" i="6" s="1"/>
  <c r="D99" i="6"/>
  <c r="F99" i="6" s="1"/>
  <c r="L105" i="6"/>
  <c r="L101" i="6"/>
  <c r="L108" i="6"/>
  <c r="L107" i="6"/>
  <c r="L102" i="6"/>
  <c r="L100" i="6"/>
  <c r="L109" i="6"/>
  <c r="L103" i="6"/>
  <c r="L104" i="6"/>
  <c r="L106" i="6"/>
  <c r="L99" i="6"/>
  <c r="F102" i="6" l="1"/>
  <c r="E109" i="6"/>
  <c r="F107" i="6"/>
  <c r="E99" i="6"/>
  <c r="E103" i="6"/>
  <c r="E108" i="6"/>
  <c r="F106" i="6"/>
  <c r="F101" i="6"/>
  <c r="F104" i="6"/>
  <c r="F105" i="6"/>
  <c r="F100" i="6"/>
  <c r="D90" i="6"/>
  <c r="E90" i="6" s="1"/>
  <c r="D92" i="6"/>
  <c r="F92" i="6" s="1"/>
  <c r="D97" i="6"/>
  <c r="F97" i="6" s="1"/>
  <c r="D94" i="6"/>
  <c r="E94" i="6" s="1"/>
  <c r="D96" i="6"/>
  <c r="E96" i="6" s="1"/>
  <c r="D98" i="6"/>
  <c r="E98" i="6" s="1"/>
  <c r="D93" i="6"/>
  <c r="E93" i="6" s="1"/>
  <c r="D95" i="6"/>
  <c r="E95" i="6" s="1"/>
  <c r="D91" i="6"/>
  <c r="E91" i="6" s="1"/>
  <c r="L90" i="6"/>
  <c r="L92" i="6"/>
  <c r="L97" i="6"/>
  <c r="L94" i="6"/>
  <c r="L96" i="6"/>
  <c r="L98" i="6"/>
  <c r="L93" i="6"/>
  <c r="L95" i="6"/>
  <c r="L91" i="6"/>
  <c r="F96" i="6" l="1"/>
  <c r="F94" i="6"/>
  <c r="F93" i="6"/>
  <c r="E92" i="6"/>
  <c r="F95" i="6"/>
  <c r="E97" i="6"/>
  <c r="F91" i="6"/>
  <c r="F90" i="6"/>
  <c r="F98" i="6"/>
  <c r="L80" i="6" l="1"/>
  <c r="L76" i="6"/>
  <c r="L85" i="6"/>
  <c r="L89" i="6"/>
  <c r="L84" i="6"/>
  <c r="L75" i="6"/>
  <c r="L79" i="6"/>
  <c r="L77" i="6"/>
  <c r="L83" i="6"/>
  <c r="L74" i="6"/>
  <c r="L87" i="6"/>
  <c r="L88" i="6"/>
  <c r="L86" i="6"/>
  <c r="L82" i="6"/>
  <c r="L72" i="6"/>
  <c r="L81" i="6"/>
  <c r="L73" i="6"/>
  <c r="L78" i="6"/>
  <c r="D80" i="6"/>
  <c r="E80" i="6" s="1"/>
  <c r="D76" i="6"/>
  <c r="E76" i="6" s="1"/>
  <c r="D85" i="6"/>
  <c r="F85" i="6" s="1"/>
  <c r="D89" i="6"/>
  <c r="E89" i="6" s="1"/>
  <c r="D84" i="6"/>
  <c r="E84" i="6" s="1"/>
  <c r="D75" i="6"/>
  <c r="E75" i="6" s="1"/>
  <c r="D79" i="6"/>
  <c r="F79" i="6" s="1"/>
  <c r="D77" i="6"/>
  <c r="F77" i="6" s="1"/>
  <c r="D83" i="6"/>
  <c r="F83" i="6" s="1"/>
  <c r="D74" i="6"/>
  <c r="E74" i="6" s="1"/>
  <c r="D87" i="6"/>
  <c r="F87" i="6" s="1"/>
  <c r="D88" i="6"/>
  <c r="F88" i="6" s="1"/>
  <c r="D86" i="6"/>
  <c r="E86" i="6" s="1"/>
  <c r="D82" i="6"/>
  <c r="E82" i="6" s="1"/>
  <c r="D72" i="6"/>
  <c r="E72" i="6" s="1"/>
  <c r="D81" i="6"/>
  <c r="E81" i="6" s="1"/>
  <c r="D73" i="6"/>
  <c r="E73" i="6" s="1"/>
  <c r="D78" i="6"/>
  <c r="E78" i="6" s="1"/>
  <c r="F72" i="6" l="1"/>
  <c r="F73" i="6"/>
  <c r="F81" i="6"/>
  <c r="E79" i="6"/>
  <c r="E83" i="6"/>
  <c r="F89" i="6"/>
  <c r="E77" i="6"/>
  <c r="E87" i="6"/>
  <c r="E85" i="6"/>
  <c r="F84" i="6"/>
  <c r="F86" i="6"/>
  <c r="F78" i="6"/>
  <c r="F74" i="6"/>
  <c r="F76" i="6"/>
  <c r="E88" i="6"/>
  <c r="F80" i="6"/>
  <c r="F82" i="6"/>
  <c r="F75" i="6"/>
  <c r="D67" i="6"/>
  <c r="E67" i="6" s="1"/>
  <c r="D61" i="6"/>
  <c r="E61" i="6" s="1"/>
  <c r="D70" i="6"/>
  <c r="E70" i="6" s="1"/>
  <c r="D68" i="6"/>
  <c r="E68" i="6" s="1"/>
  <c r="D65" i="6"/>
  <c r="E65" i="6" s="1"/>
  <c r="D66" i="6"/>
  <c r="E66" i="6" s="1"/>
  <c r="D64" i="6"/>
  <c r="E64" i="6" s="1"/>
  <c r="D60" i="6"/>
  <c r="E60" i="6" s="1"/>
  <c r="D71" i="6"/>
  <c r="E71" i="6" s="1"/>
  <c r="D58" i="6"/>
  <c r="E58" i="6" s="1"/>
  <c r="D69" i="6"/>
  <c r="E69" i="6" s="1"/>
  <c r="D63" i="6"/>
  <c r="E63" i="6" s="1"/>
  <c r="D59" i="6"/>
  <c r="E59" i="6" s="1"/>
  <c r="D62" i="6"/>
  <c r="E62" i="6" s="1"/>
  <c r="D57" i="6"/>
  <c r="E57" i="6" s="1"/>
  <c r="L67" i="6"/>
  <c r="L61" i="6"/>
  <c r="L70" i="6"/>
  <c r="L68" i="6"/>
  <c r="L65" i="6"/>
  <c r="L66" i="6"/>
  <c r="L64" i="6"/>
  <c r="L60" i="6"/>
  <c r="L71" i="6"/>
  <c r="L58" i="6"/>
  <c r="L69" i="6"/>
  <c r="L63" i="6"/>
  <c r="L59" i="6"/>
  <c r="L62" i="6"/>
  <c r="L57" i="6"/>
  <c r="F63" i="6" l="1"/>
  <c r="F60" i="6"/>
  <c r="F68" i="6"/>
  <c r="F57" i="6"/>
  <c r="F69" i="6"/>
  <c r="F64" i="6"/>
  <c r="F70" i="6"/>
  <c r="F61" i="6"/>
  <c r="F62" i="6"/>
  <c r="F58" i="6"/>
  <c r="F66" i="6"/>
  <c r="F59" i="6"/>
  <c r="F71" i="6"/>
  <c r="F65" i="6"/>
  <c r="F67" i="6"/>
  <c r="D53" i="6"/>
  <c r="E53" i="6" s="1"/>
  <c r="D55" i="6"/>
  <c r="E55" i="6" s="1"/>
  <c r="D49" i="6"/>
  <c r="E49" i="6" s="1"/>
  <c r="D56" i="6"/>
  <c r="E56" i="6" s="1"/>
  <c r="D51" i="6"/>
  <c r="E51" i="6" s="1"/>
  <c r="D54" i="6"/>
  <c r="E54" i="6" s="1"/>
  <c r="D50" i="6"/>
  <c r="E50" i="6" s="1"/>
  <c r="D52" i="6"/>
  <c r="E52" i="6" s="1"/>
  <c r="D46" i="6"/>
  <c r="F46" i="6" s="1"/>
  <c r="D48" i="6"/>
  <c r="E48" i="6" s="1"/>
  <c r="D47" i="6"/>
  <c r="E47" i="6" s="1"/>
  <c r="L53" i="6"/>
  <c r="L55" i="6"/>
  <c r="L49" i="6"/>
  <c r="L56" i="6"/>
  <c r="L51" i="6"/>
  <c r="L54" i="6"/>
  <c r="L50" i="6"/>
  <c r="L52" i="6"/>
  <c r="L46" i="6"/>
  <c r="L48" i="6"/>
  <c r="L47" i="6"/>
  <c r="E46" i="6" l="1"/>
  <c r="F51" i="6"/>
  <c r="F52" i="6"/>
  <c r="F56" i="6"/>
  <c r="F47" i="6"/>
  <c r="F50" i="6"/>
  <c r="F49" i="6"/>
  <c r="F48" i="6"/>
  <c r="F54" i="6"/>
  <c r="F55" i="6"/>
  <c r="F53" i="6"/>
  <c r="D42" i="6"/>
  <c r="E42" i="6" s="1"/>
  <c r="D28" i="6"/>
  <c r="E28" i="6" s="1"/>
  <c r="D37" i="6"/>
  <c r="E37" i="6" s="1"/>
  <c r="D43" i="6"/>
  <c r="E43" i="6" s="1"/>
  <c r="D30" i="6"/>
  <c r="E30" i="6" s="1"/>
  <c r="D29" i="6"/>
  <c r="F29" i="6" s="1"/>
  <c r="D32" i="6"/>
  <c r="E32" i="6" s="1"/>
  <c r="D44" i="6"/>
  <c r="F44" i="6" s="1"/>
  <c r="D31" i="6"/>
  <c r="E31" i="6" s="1"/>
  <c r="D33" i="6"/>
  <c r="E33" i="6" s="1"/>
  <c r="D39" i="6"/>
  <c r="E39" i="6" s="1"/>
  <c r="D45" i="6"/>
  <c r="E45" i="6" s="1"/>
  <c r="D35" i="6"/>
  <c r="E35" i="6" s="1"/>
  <c r="D34" i="6"/>
  <c r="E34" i="6" s="1"/>
  <c r="D40" i="6"/>
  <c r="E40" i="6" s="1"/>
  <c r="D36" i="6"/>
  <c r="F36" i="6" s="1"/>
  <c r="D41" i="6"/>
  <c r="E41" i="6" s="1"/>
  <c r="D38" i="6"/>
  <c r="E38" i="6" s="1"/>
  <c r="L42" i="6"/>
  <c r="L28" i="6"/>
  <c r="L37" i="6"/>
  <c r="L43" i="6"/>
  <c r="L30" i="6"/>
  <c r="L29" i="6"/>
  <c r="L32" i="6"/>
  <c r="L44" i="6"/>
  <c r="L31" i="6"/>
  <c r="L33" i="6"/>
  <c r="L39" i="6"/>
  <c r="L45" i="6"/>
  <c r="L35" i="6"/>
  <c r="L34" i="6"/>
  <c r="L40" i="6"/>
  <c r="L36" i="6"/>
  <c r="L41" i="6"/>
  <c r="L38" i="6"/>
  <c r="E29" i="6" l="1"/>
  <c r="F38" i="6"/>
  <c r="F32" i="6"/>
  <c r="F40" i="6"/>
  <c r="F34" i="6"/>
  <c r="F33" i="6"/>
  <c r="F28" i="6"/>
  <c r="E36" i="6"/>
  <c r="F35" i="6"/>
  <c r="E44" i="6"/>
  <c r="F30" i="6"/>
  <c r="F39" i="6"/>
  <c r="F37" i="6"/>
  <c r="F45" i="6"/>
  <c r="F43" i="6"/>
  <c r="F41" i="6"/>
  <c r="F31" i="6"/>
  <c r="F42" i="6"/>
  <c r="D22" i="6"/>
  <c r="E22" i="6" s="1"/>
  <c r="D27" i="6"/>
  <c r="E27" i="6" s="1"/>
  <c r="D24" i="6"/>
  <c r="F24" i="6" s="1"/>
  <c r="D25" i="6"/>
  <c r="F25" i="6" s="1"/>
  <c r="D26" i="6"/>
  <c r="E26" i="6" s="1"/>
  <c r="D21" i="6"/>
  <c r="E21" i="6" s="1"/>
  <c r="E24" i="6" l="1"/>
  <c r="E25" i="6"/>
  <c r="F21" i="6"/>
  <c r="F27" i="6"/>
  <c r="F26" i="6"/>
  <c r="F22" i="6"/>
  <c r="D4" i="6" l="1"/>
  <c r="E4" i="6" s="1"/>
  <c r="D5" i="6"/>
  <c r="E5" i="6" s="1"/>
  <c r="D6" i="6"/>
  <c r="E6" i="6" s="1"/>
  <c r="D7" i="6"/>
  <c r="F7" i="6" s="1"/>
  <c r="D8" i="6"/>
  <c r="E8" i="6" s="1"/>
  <c r="D9" i="6"/>
  <c r="E9" i="6" s="1"/>
  <c r="D10" i="6"/>
  <c r="E10" i="6" s="1"/>
  <c r="D11" i="6"/>
  <c r="F11" i="6" s="1"/>
  <c r="D12" i="6"/>
  <c r="E12" i="6" s="1"/>
  <c r="D13" i="6"/>
  <c r="E13" i="6" s="1"/>
  <c r="D14" i="6"/>
  <c r="E14" i="6" s="1"/>
  <c r="D15" i="6"/>
  <c r="F15" i="6" s="1"/>
  <c r="D16" i="6"/>
  <c r="E16" i="6" s="1"/>
  <c r="D17" i="6"/>
  <c r="E17" i="6" s="1"/>
  <c r="D18" i="6"/>
  <c r="E18" i="6" s="1"/>
  <c r="D19" i="6"/>
  <c r="F19" i="6" s="1"/>
  <c r="D20" i="6"/>
  <c r="E20" i="6" s="1"/>
  <c r="D23" i="6"/>
  <c r="E23" i="6" s="1"/>
  <c r="L23" i="6"/>
  <c r="L22" i="6"/>
  <c r="L27" i="6"/>
  <c r="L24" i="6"/>
  <c r="L25" i="6"/>
  <c r="L26" i="6"/>
  <c r="L21" i="6"/>
  <c r="E19" i="6" l="1"/>
  <c r="E11" i="6"/>
  <c r="E15" i="6"/>
  <c r="E7" i="6"/>
  <c r="F14" i="6"/>
  <c r="F6" i="6"/>
  <c r="F18" i="6"/>
  <c r="F10" i="6"/>
  <c r="F23" i="6"/>
  <c r="F17" i="6"/>
  <c r="F13" i="6"/>
  <c r="F9" i="6"/>
  <c r="F5" i="6"/>
  <c r="F20" i="6"/>
  <c r="F16" i="6"/>
  <c r="F12" i="6"/>
  <c r="F8" i="6"/>
  <c r="F4" i="6"/>
  <c r="L12" i="6"/>
  <c r="L16" i="6"/>
  <c r="L18" i="6"/>
  <c r="L9" i="6"/>
  <c r="L14" i="6"/>
  <c r="L11" i="6"/>
  <c r="L10" i="6"/>
  <c r="L20" i="6"/>
  <c r="L19" i="6"/>
  <c r="L15" i="6"/>
  <c r="L13" i="6"/>
  <c r="L17" i="6"/>
  <c r="L7" i="6" l="1"/>
  <c r="L4" i="6"/>
  <c r="L6" i="6"/>
  <c r="L5" i="6"/>
  <c r="L8" i="6"/>
  <c r="D74" i="2" l="1"/>
  <c r="D71" i="2" l="1"/>
  <c r="D72" i="2"/>
  <c r="D73" i="2"/>
  <c r="D69" i="2" l="1"/>
  <c r="D70" i="2"/>
  <c r="D68" i="2"/>
</calcChain>
</file>

<file path=xl/comments1.xml><?xml version="1.0" encoding="utf-8"?>
<comments xmlns="http://schemas.openxmlformats.org/spreadsheetml/2006/main">
  <authors>
    <author>作者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2025/7/23-E4</t>
        </r>
        <r>
          <rPr>
            <sz val="9"/>
            <color indexed="81"/>
            <rFont val="細明體"/>
            <family val="3"/>
            <charset val="136"/>
          </rPr>
          <t>、</t>
        </r>
        <r>
          <rPr>
            <sz val="9"/>
            <color indexed="81"/>
            <rFont val="Tahoma"/>
            <family val="2"/>
          </rPr>
          <t>E5</t>
        </r>
        <r>
          <rPr>
            <sz val="9"/>
            <color indexed="81"/>
            <rFont val="細明體"/>
            <family val="3"/>
            <charset val="136"/>
          </rPr>
          <t>、</t>
        </r>
        <r>
          <rPr>
            <sz val="9"/>
            <color indexed="81"/>
            <rFont val="Tahoma"/>
            <family val="2"/>
          </rPr>
          <t>E6</t>
        </r>
        <r>
          <rPr>
            <sz val="9"/>
            <color indexed="81"/>
            <rFont val="細明體"/>
            <family val="3"/>
            <charset val="136"/>
          </rPr>
          <t>關</t>
        </r>
        <r>
          <rPr>
            <sz val="9"/>
            <color indexed="81"/>
            <rFont val="Tahoma"/>
            <family val="2"/>
          </rPr>
          <t xml:space="preserve">
2025/10/23</t>
        </r>
        <r>
          <rPr>
            <sz val="9"/>
            <color indexed="81"/>
            <rFont val="細明體"/>
            <family val="3"/>
            <charset val="136"/>
          </rPr>
          <t>起使用無毒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除了</t>
        </r>
        <r>
          <rPr>
            <sz val="9"/>
            <color indexed="81"/>
            <rFont val="Tahoma"/>
            <family val="2"/>
          </rPr>
          <t>15%</t>
        </r>
        <r>
          <rPr>
            <sz val="9"/>
            <color indexed="81"/>
            <rFont val="細明體"/>
            <family val="3"/>
            <charset val="136"/>
          </rPr>
          <t>纖維</t>
        </r>
        <r>
          <rPr>
            <sz val="9"/>
            <color indexed="81"/>
            <rFont val="Tahoma"/>
            <family val="2"/>
          </rPr>
          <t>)
2025/12/10-3310</t>
        </r>
        <r>
          <rPr>
            <sz val="9"/>
            <color indexed="81"/>
            <rFont val="細明體"/>
            <family val="3"/>
            <charset val="136"/>
          </rPr>
          <t xml:space="preserve">擦拭驗證
</t>
        </r>
        <r>
          <rPr>
            <sz val="9"/>
            <color indexed="81"/>
            <rFont val="Tahoma"/>
            <family val="2"/>
          </rPr>
          <t>2025/12/16-3310</t>
        </r>
        <r>
          <rPr>
            <sz val="9"/>
            <color indexed="81"/>
            <rFont val="細明體"/>
            <family val="3"/>
            <charset val="136"/>
          </rPr>
          <t xml:space="preserve">擦拭驗證
</t>
        </r>
        <r>
          <rPr>
            <sz val="9"/>
            <color indexed="81"/>
            <rFont val="Tahoma"/>
            <family val="2"/>
          </rPr>
          <t>2025/8/2</t>
        </r>
        <r>
          <rPr>
            <sz val="9"/>
            <color indexed="81"/>
            <rFont val="細明體"/>
            <family val="3"/>
            <charset val="136"/>
          </rPr>
          <t>、</t>
        </r>
        <r>
          <rPr>
            <sz val="9"/>
            <color indexed="81"/>
            <rFont val="Tahoma"/>
            <family val="2"/>
          </rPr>
          <t>8/5</t>
        </r>
        <r>
          <rPr>
            <sz val="9"/>
            <color indexed="81"/>
            <rFont val="細明體"/>
            <family val="3"/>
            <charset val="136"/>
          </rPr>
          <t>、</t>
        </r>
        <r>
          <rPr>
            <sz val="9"/>
            <color indexed="81"/>
            <rFont val="Tahoma"/>
            <family val="2"/>
          </rPr>
          <t>8/7</t>
        </r>
        <r>
          <rPr>
            <sz val="9"/>
            <color indexed="81"/>
            <rFont val="細明體"/>
            <family val="3"/>
            <charset val="136"/>
          </rPr>
          <t>起關</t>
        </r>
        <r>
          <rPr>
            <sz val="9"/>
            <color indexed="81"/>
            <rFont val="Tahoma"/>
            <family val="2"/>
          </rPr>
          <t>456
2025/8/2-E4.5.6</t>
        </r>
        <r>
          <rPr>
            <sz val="9"/>
            <color indexed="81"/>
            <rFont val="細明體"/>
            <family val="3"/>
            <charset val="136"/>
          </rPr>
          <t>關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排風全開</t>
        </r>
        <r>
          <rPr>
            <sz val="9"/>
            <color indexed="81"/>
            <rFont val="Tahoma"/>
            <family val="2"/>
          </rPr>
          <t>)
2025/8/20(E2</t>
        </r>
        <r>
          <rPr>
            <sz val="9"/>
            <color indexed="81"/>
            <rFont val="細明體"/>
            <family val="3"/>
            <charset val="136"/>
          </rPr>
          <t>、</t>
        </r>
        <r>
          <rPr>
            <sz val="9"/>
            <color indexed="81"/>
            <rFont val="Tahoma"/>
            <family val="2"/>
          </rPr>
          <t>E3</t>
        </r>
        <r>
          <rPr>
            <sz val="9"/>
            <color indexed="81"/>
            <rFont val="細明體"/>
            <family val="3"/>
            <charset val="136"/>
          </rPr>
          <t>後段</t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>)
2025/8/20</t>
        </r>
        <r>
          <rPr>
            <sz val="9"/>
            <color indexed="81"/>
            <rFont val="細明體"/>
            <family val="3"/>
            <charset val="136"/>
          </rPr>
          <t>起除了愛信</t>
        </r>
        <r>
          <rPr>
            <sz val="9"/>
            <color indexed="81"/>
            <rFont val="Tahoma"/>
            <family val="2"/>
          </rPr>
          <t>80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>54</t>
        </r>
        <r>
          <rPr>
            <sz val="9"/>
            <color indexed="81"/>
            <rFont val="細明體"/>
            <family val="3"/>
            <charset val="136"/>
          </rPr>
          <t>分其餘</t>
        </r>
        <r>
          <rPr>
            <sz val="9"/>
            <color indexed="81"/>
            <rFont val="Tahoma"/>
            <family val="2"/>
          </rPr>
          <t>80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>20</t>
        </r>
        <r>
          <rPr>
            <sz val="9"/>
            <color indexed="81"/>
            <rFont val="細明體"/>
            <family val="3"/>
            <charset val="136"/>
          </rPr>
          <t>分，</t>
        </r>
        <r>
          <rPr>
            <sz val="9"/>
            <color indexed="81"/>
            <rFont val="Tahoma"/>
            <family val="2"/>
          </rPr>
          <t>8/26~9/51</t>
        </r>
        <r>
          <rPr>
            <sz val="9"/>
            <color indexed="81"/>
            <rFont val="細明體"/>
            <family val="3"/>
            <charset val="136"/>
          </rPr>
          <t>後段</t>
        </r>
        <r>
          <rPr>
            <sz val="9"/>
            <color indexed="81"/>
            <rFont val="Tahoma"/>
            <family val="2"/>
          </rPr>
          <t>40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9/8:E6</t>
        </r>
        <r>
          <rPr>
            <sz val="9"/>
            <color indexed="81"/>
            <rFont val="細明體"/>
            <family val="3"/>
            <charset val="136"/>
          </rPr>
          <t>開</t>
        </r>
        <r>
          <rPr>
            <sz val="9"/>
            <color indexed="81"/>
            <rFont val="Tahoma"/>
            <family val="2"/>
          </rPr>
          <t>40</t>
        </r>
        <r>
          <rPr>
            <sz val="9"/>
            <color indexed="81"/>
            <rFont val="細明體"/>
            <family val="3"/>
            <charset val="136"/>
          </rPr>
          <t xml:space="preserve">度
</t>
        </r>
        <r>
          <rPr>
            <sz val="9"/>
            <color indexed="81"/>
            <rFont val="Tahoma"/>
            <family val="2"/>
          </rPr>
          <t>2025/11/10</t>
        </r>
        <r>
          <rPr>
            <sz val="9"/>
            <color indexed="81"/>
            <rFont val="細明體"/>
            <family val="3"/>
            <charset val="136"/>
          </rPr>
          <t>開始無</t>
        </r>
        <r>
          <rPr>
            <sz val="9"/>
            <color indexed="81"/>
            <rFont val="Tahoma"/>
            <family val="2"/>
          </rPr>
          <t>E6(</t>
        </r>
        <r>
          <rPr>
            <sz val="9"/>
            <color indexed="81"/>
            <rFont val="細明體"/>
            <family val="3"/>
            <charset val="136"/>
          </rPr>
          <t>已拆除</t>
        </r>
        <r>
          <rPr>
            <sz val="9"/>
            <color indexed="81"/>
            <rFont val="Tahoma"/>
            <family val="2"/>
          </rPr>
          <t>)
2025/11/10-E4.5</t>
        </r>
        <r>
          <rPr>
            <sz val="9"/>
            <color indexed="81"/>
            <rFont val="細明體"/>
            <family val="3"/>
            <charset val="136"/>
          </rPr>
          <t>關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排風全開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細明體"/>
            <family val="3"/>
            <charset val="136"/>
          </rPr>
          <t>、</t>
        </r>
        <r>
          <rPr>
            <sz val="9"/>
            <color indexed="81"/>
            <rFont val="Tahoma"/>
            <family val="2"/>
          </rPr>
          <t>E2E3</t>
        </r>
        <r>
          <rPr>
            <sz val="9"/>
            <color indexed="81"/>
            <rFont val="細明體"/>
            <family val="3"/>
            <charset val="136"/>
          </rPr>
          <t>後段</t>
        </r>
        <r>
          <rPr>
            <sz val="9"/>
            <color indexed="81"/>
            <rFont val="Tahoma"/>
            <family val="2"/>
          </rPr>
          <t>40</t>
        </r>
      </text>
    </comment>
    <comment ref="R41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內圍毛邊</t>
        </r>
      </text>
    </comment>
    <comment ref="U67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壓痕</t>
        </r>
      </text>
    </comment>
    <comment ref="U126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上蓋壓痕</t>
        </r>
      </text>
    </comment>
    <comment ref="U282" authorId="0" shapeId="0">
      <text>
        <r>
          <rPr>
            <b/>
            <sz val="11"/>
            <color indexed="81"/>
            <rFont val="細明體"/>
            <family val="3"/>
            <charset val="136"/>
          </rPr>
          <t>作者:
薄噴</t>
        </r>
      </text>
    </comment>
    <comment ref="R562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素材表面剝離
</t>
        </r>
      </text>
    </comment>
    <comment ref="U808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龜裂
</t>
        </r>
      </text>
    </comment>
    <comment ref="R822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毛邊</t>
        </r>
      </text>
    </comment>
    <comment ref="R956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毛邊*44
素材表面剝離*2</t>
        </r>
      </text>
    </comment>
    <comment ref="U972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薄噴</t>
        </r>
      </text>
    </comment>
    <comment ref="U974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薄噴</t>
        </r>
      </text>
    </comment>
    <comment ref="R998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毛邊
</t>
        </r>
      </text>
    </comment>
    <comment ref="R1128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縮水</t>
        </r>
      </text>
    </comment>
    <comment ref="U1141" authorId="0" shape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除漆痕</t>
        </r>
      </text>
    </comment>
  </commentList>
</comments>
</file>

<file path=xl/sharedStrings.xml><?xml version="1.0" encoding="utf-8"?>
<sst xmlns="http://schemas.openxmlformats.org/spreadsheetml/2006/main" count="4146" uniqueCount="1160">
  <si>
    <t>工單</t>
    <phoneticPr fontId="2" type="noConversion"/>
  </si>
  <si>
    <t>物料</t>
    <phoneticPr fontId="2" type="noConversion"/>
  </si>
  <si>
    <t>舊物料</t>
    <phoneticPr fontId="2" type="noConversion"/>
  </si>
  <si>
    <t>工單數量</t>
    <phoneticPr fontId="2" type="noConversion"/>
  </si>
  <si>
    <t>不良數</t>
    <phoneticPr fontId="2" type="noConversion"/>
  </si>
  <si>
    <t>A3228650T</t>
  </si>
  <si>
    <t>5OET005693XCHN8B</t>
  </si>
  <si>
    <t>漆廠</t>
  </si>
  <si>
    <t>顏色</t>
  </si>
  <si>
    <t>1:邦善</t>
  </si>
  <si>
    <t>2.建榮</t>
  </si>
  <si>
    <t>白</t>
  </si>
  <si>
    <t>灰</t>
  </si>
  <si>
    <t>霧面黑</t>
  </si>
  <si>
    <t>霧面黑</t>
    <phoneticPr fontId="2" type="noConversion"/>
  </si>
  <si>
    <t>銀</t>
  </si>
  <si>
    <t>76S</t>
  </si>
  <si>
    <t>3.敦陽</t>
    <phoneticPr fontId="2" type="noConversion"/>
  </si>
  <si>
    <t>NGW</t>
  </si>
  <si>
    <t>N3L</t>
  </si>
  <si>
    <t>QHR</t>
  </si>
  <si>
    <t>SZR</t>
  </si>
  <si>
    <t>FHW</t>
  </si>
  <si>
    <t>NBB</t>
  </si>
  <si>
    <t>SYL</t>
  </si>
  <si>
    <t>78A</t>
  </si>
  <si>
    <t>9DB</t>
  </si>
  <si>
    <t>NFS</t>
  </si>
  <si>
    <t>AAW</t>
  </si>
  <si>
    <t>RBL</t>
  </si>
  <si>
    <t>VUS</t>
  </si>
  <si>
    <t>NEA</t>
  </si>
  <si>
    <t>VQW</t>
  </si>
  <si>
    <t>QFA</t>
  </si>
  <si>
    <t>75W</t>
  </si>
  <si>
    <t>4VW</t>
  </si>
  <si>
    <t>NCB</t>
  </si>
  <si>
    <t>RRA</t>
  </si>
  <si>
    <t>RCA</t>
  </si>
  <si>
    <t>ZZZ</t>
  </si>
  <si>
    <t>HUR</t>
  </si>
  <si>
    <t>JCB</t>
  </si>
  <si>
    <t>J7G</t>
  </si>
  <si>
    <t>UGL</t>
  </si>
  <si>
    <t>88S</t>
  </si>
  <si>
    <t>RKB</t>
  </si>
  <si>
    <t>QDW</t>
  </si>
  <si>
    <t>NQB</t>
  </si>
  <si>
    <t>4PW</t>
  </si>
  <si>
    <t>HSS</t>
  </si>
  <si>
    <t>LCG</t>
  </si>
  <si>
    <t>QBS</t>
  </si>
  <si>
    <t>RJL</t>
  </si>
  <si>
    <t>Q9B</t>
  </si>
  <si>
    <t>HXR</t>
  </si>
  <si>
    <t>KKK</t>
  </si>
  <si>
    <t>MHA</t>
  </si>
  <si>
    <t>LYB</t>
  </si>
  <si>
    <t>MXS</t>
  </si>
  <si>
    <t>42W</t>
  </si>
  <si>
    <t>HZS</t>
  </si>
  <si>
    <t>71A</t>
  </si>
  <si>
    <t>CCA</t>
  </si>
  <si>
    <t>PLB</t>
  </si>
  <si>
    <t>KTW</t>
  </si>
  <si>
    <t>HTW</t>
  </si>
  <si>
    <t>05W</t>
  </si>
  <si>
    <t>L9G</t>
  </si>
  <si>
    <t>F7S</t>
  </si>
  <si>
    <t>JUL</t>
  </si>
  <si>
    <t>N8B</t>
  </si>
  <si>
    <t>V9L</t>
  </si>
  <si>
    <t>J6L</t>
  </si>
  <si>
    <t>KLL</t>
  </si>
  <si>
    <t>MUB</t>
  </si>
  <si>
    <t>R7A</t>
  </si>
  <si>
    <t>2US</t>
  </si>
  <si>
    <t>M2W</t>
  </si>
  <si>
    <t>QEN</t>
  </si>
  <si>
    <t>A0T</t>
  </si>
  <si>
    <t>華山</t>
  </si>
  <si>
    <t>白</t>
    <phoneticPr fontId="2" type="noConversion"/>
  </si>
  <si>
    <t>紅</t>
  </si>
  <si>
    <t>紅</t>
    <phoneticPr fontId="2" type="noConversion"/>
  </si>
  <si>
    <t>黑</t>
  </si>
  <si>
    <t>黑</t>
    <phoneticPr fontId="2" type="noConversion"/>
  </si>
  <si>
    <t>霧面黑</t>
    <phoneticPr fontId="2" type="noConversion"/>
  </si>
  <si>
    <t>綠</t>
  </si>
  <si>
    <t>綠</t>
    <phoneticPr fontId="2" type="noConversion"/>
  </si>
  <si>
    <t>藍</t>
    <phoneticPr fontId="2" type="noConversion"/>
  </si>
  <si>
    <t>PT00000800T</t>
  </si>
  <si>
    <t>PT00001700T</t>
  </si>
  <si>
    <t>PT00002100T</t>
  </si>
  <si>
    <t>PT00015200T</t>
  </si>
  <si>
    <t>PT00047400T</t>
  </si>
  <si>
    <t>PT00047500T</t>
  </si>
  <si>
    <t>PT00047600T</t>
  </si>
  <si>
    <t>PT00048000T</t>
  </si>
  <si>
    <t>PT00050000T</t>
  </si>
  <si>
    <t>PT00106000T</t>
  </si>
  <si>
    <t>PT00111600T</t>
  </si>
  <si>
    <t>PT00111700T</t>
  </si>
  <si>
    <t>PT00112500T</t>
  </si>
  <si>
    <t>PT00112600T</t>
  </si>
  <si>
    <t>PT00117600T</t>
  </si>
  <si>
    <t>PT00117700T</t>
  </si>
  <si>
    <t>PT00117800T</t>
  </si>
  <si>
    <t>PT00118200T</t>
  </si>
  <si>
    <t>PT00119900T</t>
  </si>
  <si>
    <t>PT00120600T</t>
  </si>
  <si>
    <t>PT00121000T</t>
  </si>
  <si>
    <t>PT00128700T</t>
  </si>
  <si>
    <t>PT00128900T</t>
  </si>
  <si>
    <t>PT00130700T</t>
  </si>
  <si>
    <t>PT00135200T</t>
  </si>
  <si>
    <t>PT00135700T</t>
  </si>
  <si>
    <t>PT00136300T</t>
  </si>
  <si>
    <t>PT00138500T</t>
  </si>
  <si>
    <t>PT00138600T</t>
  </si>
  <si>
    <t>PT00144200T</t>
  </si>
  <si>
    <t>PT00145700T</t>
  </si>
  <si>
    <t>PT00148200T</t>
  </si>
  <si>
    <t>PT00159800T</t>
  </si>
  <si>
    <t>PT00159900T</t>
  </si>
  <si>
    <t>邦善</t>
  </si>
  <si>
    <t>邦善</t>
    <phoneticPr fontId="2" type="noConversion"/>
  </si>
  <si>
    <t>敦陽</t>
  </si>
  <si>
    <t>敦陽</t>
    <phoneticPr fontId="2" type="noConversion"/>
  </si>
  <si>
    <t>建榮</t>
  </si>
  <si>
    <t>底漆</t>
    <phoneticPr fontId="2" type="noConversion"/>
  </si>
  <si>
    <t>PT00112000T</t>
  </si>
  <si>
    <t>PT00106400T</t>
  </si>
  <si>
    <t>PT00109400T</t>
  </si>
  <si>
    <t>PT00103600T</t>
  </si>
  <si>
    <t>PT00117000T</t>
  </si>
  <si>
    <t>PT00129200T</t>
  </si>
  <si>
    <t>PT00001400T</t>
  </si>
  <si>
    <t>PT00114700T</t>
  </si>
  <si>
    <t>PT00113300T</t>
  </si>
  <si>
    <t>PT00108200T</t>
  </si>
  <si>
    <t>PT00136500T</t>
  </si>
  <si>
    <t>PT00039300T</t>
  </si>
  <si>
    <t>PT00100500T</t>
  </si>
  <si>
    <t>PT00023800T</t>
  </si>
  <si>
    <t>金</t>
  </si>
  <si>
    <t>金</t>
    <phoneticPr fontId="2" type="noConversion"/>
  </si>
  <si>
    <t>PT00093000T</t>
  </si>
  <si>
    <t>PT00112400T</t>
  </si>
  <si>
    <t>PT00107100T</t>
  </si>
  <si>
    <t>PT00135900T</t>
  </si>
  <si>
    <t>PT00109500T</t>
  </si>
  <si>
    <t>PT00128600T</t>
  </si>
  <si>
    <t>PT00154100T</t>
  </si>
  <si>
    <t>棕</t>
  </si>
  <si>
    <t>PT00047300T</t>
  </si>
  <si>
    <t>PT00124700T</t>
  </si>
  <si>
    <t>PT00117900T</t>
  </si>
  <si>
    <t>PT00006700T</t>
  </si>
  <si>
    <t>PT00105700T</t>
  </si>
  <si>
    <t>PT00003000T</t>
  </si>
  <si>
    <t>PT00030800T</t>
  </si>
  <si>
    <t>39A</t>
  </si>
  <si>
    <t>4BB</t>
  </si>
  <si>
    <t>7FB</t>
  </si>
  <si>
    <t>敦陽</t>
    <phoneticPr fontId="2" type="noConversion"/>
  </si>
  <si>
    <t>ACS</t>
  </si>
  <si>
    <t>VBR</t>
  </si>
  <si>
    <t>6XB</t>
  </si>
  <si>
    <t>BBB</t>
  </si>
  <si>
    <t>HDL</t>
  </si>
  <si>
    <t>A3252820T</t>
  </si>
  <si>
    <t>5OEG006036XAHQRB</t>
  </si>
  <si>
    <t>QRB</t>
  </si>
  <si>
    <t>31B</t>
  </si>
  <si>
    <t>EEA</t>
  </si>
  <si>
    <t>N4L</t>
  </si>
  <si>
    <t>09B</t>
  </si>
  <si>
    <t>VLS</t>
  </si>
  <si>
    <t>NJR</t>
  </si>
  <si>
    <t>S3B</t>
  </si>
  <si>
    <t>QUW</t>
  </si>
  <si>
    <t>QXR</t>
  </si>
  <si>
    <t>TZB</t>
  </si>
  <si>
    <t>QSB</t>
  </si>
  <si>
    <t>QVA</t>
  </si>
  <si>
    <t>QTS</t>
  </si>
  <si>
    <t>TXA</t>
  </si>
  <si>
    <t>RZG</t>
  </si>
  <si>
    <t>R3A</t>
  </si>
  <si>
    <t>CKA</t>
  </si>
  <si>
    <t>P3A</t>
  </si>
  <si>
    <t>NRR</t>
  </si>
  <si>
    <t>L2A</t>
  </si>
  <si>
    <t>1FS</t>
  </si>
  <si>
    <t>5WK</t>
  </si>
  <si>
    <t>金</t>
    <phoneticPr fontId="2" type="noConversion"/>
  </si>
  <si>
    <t>RLR</t>
  </si>
  <si>
    <t>4RB</t>
  </si>
  <si>
    <t>H3R</t>
  </si>
  <si>
    <t>VDR</t>
  </si>
  <si>
    <t>07W</t>
  </si>
  <si>
    <t>KWL</t>
  </si>
  <si>
    <t>青</t>
    <phoneticPr fontId="2" type="noConversion"/>
  </si>
  <si>
    <t>總不良率</t>
    <phoneticPr fontId="2" type="noConversion"/>
  </si>
  <si>
    <t>TUR</t>
  </si>
  <si>
    <t>81B</t>
  </si>
  <si>
    <t>62R</t>
  </si>
  <si>
    <t>KFL</t>
  </si>
  <si>
    <t>NPL</t>
  </si>
  <si>
    <t>四通行</t>
  </si>
  <si>
    <t>RMG</t>
  </si>
  <si>
    <t>S8A</t>
  </si>
  <si>
    <t>P9A</t>
  </si>
  <si>
    <t>VAB</t>
  </si>
  <si>
    <t>NXW</t>
  </si>
  <si>
    <t>64W</t>
  </si>
  <si>
    <t>R2L</t>
  </si>
  <si>
    <t>TML</t>
  </si>
  <si>
    <t>U3L</t>
  </si>
  <si>
    <t>JHA</t>
  </si>
  <si>
    <t>SAA</t>
  </si>
  <si>
    <t>84B</t>
  </si>
  <si>
    <t>LWB</t>
  </si>
  <si>
    <t>PHX</t>
  </si>
  <si>
    <t>底漆</t>
    <phoneticPr fontId="2" type="noConversion"/>
  </si>
  <si>
    <t>U5R</t>
  </si>
  <si>
    <t>JJB</t>
  </si>
  <si>
    <t>J9R</t>
  </si>
  <si>
    <t>8TA</t>
  </si>
  <si>
    <t>BZB</t>
  </si>
  <si>
    <t>18A</t>
  </si>
  <si>
    <t>MWW</t>
  </si>
  <si>
    <t>U2R</t>
  </si>
  <si>
    <t>KDR</t>
  </si>
  <si>
    <t>VGA</t>
  </si>
  <si>
    <t>VMA</t>
  </si>
  <si>
    <t>6HA</t>
  </si>
  <si>
    <t>71A</t>
    <phoneticPr fontId="2" type="noConversion"/>
  </si>
  <si>
    <t>7TB</t>
  </si>
  <si>
    <t>19W</t>
  </si>
  <si>
    <t>N9B</t>
  </si>
  <si>
    <t>UNR</t>
  </si>
  <si>
    <t>VEA</t>
  </si>
  <si>
    <t>VNB</t>
  </si>
  <si>
    <t>P8G</t>
  </si>
  <si>
    <t>0LW</t>
  </si>
  <si>
    <t>R5P</t>
  </si>
  <si>
    <t>QZR</t>
  </si>
  <si>
    <t>紫</t>
    <phoneticPr fontId="2" type="noConversion"/>
  </si>
  <si>
    <t>BKB</t>
  </si>
  <si>
    <t>XXZ</t>
  </si>
  <si>
    <t>VYW</t>
  </si>
  <si>
    <t>金屬底</t>
    <phoneticPr fontId="2" type="noConversion"/>
  </si>
  <si>
    <t>華山</t>
    <phoneticPr fontId="2" type="noConversion"/>
  </si>
  <si>
    <t>白</t>
    <phoneticPr fontId="2" type="noConversion"/>
  </si>
  <si>
    <t>Q5A</t>
  </si>
  <si>
    <t>VFR</t>
  </si>
  <si>
    <t>FWS</t>
  </si>
  <si>
    <t>EHL</t>
  </si>
  <si>
    <t>D3B</t>
  </si>
  <si>
    <t>TVK</t>
  </si>
  <si>
    <t>UUS</t>
  </si>
  <si>
    <t>55R</t>
  </si>
  <si>
    <t>FJS</t>
  </si>
  <si>
    <t>ADB</t>
  </si>
  <si>
    <t>2VB</t>
  </si>
  <si>
    <t>翻車不良</t>
    <phoneticPr fontId="2" type="noConversion"/>
  </si>
  <si>
    <t>HYY</t>
  </si>
  <si>
    <t>黃</t>
    <phoneticPr fontId="2" type="noConversion"/>
  </si>
  <si>
    <t>W3B</t>
  </si>
  <si>
    <t>華山</t>
    <phoneticPr fontId="2" type="noConversion"/>
  </si>
  <si>
    <t>黑</t>
    <phoneticPr fontId="2" type="noConversion"/>
  </si>
  <si>
    <t>PWA</t>
  </si>
  <si>
    <t>VCL</t>
  </si>
  <si>
    <t>NYR</t>
  </si>
  <si>
    <t>JDL</t>
  </si>
  <si>
    <t>N5L</t>
  </si>
  <si>
    <t>VKB</t>
  </si>
  <si>
    <t>VXW</t>
  </si>
  <si>
    <t>FVA</t>
  </si>
  <si>
    <t>34W</t>
  </si>
  <si>
    <t>VWL</t>
  </si>
  <si>
    <t>SCR</t>
  </si>
  <si>
    <t>RDR</t>
  </si>
  <si>
    <t>DWL</t>
  </si>
  <si>
    <t>H1W</t>
  </si>
  <si>
    <t>YYZ</t>
  </si>
  <si>
    <t>底漆</t>
    <phoneticPr fontId="2" type="noConversion"/>
  </si>
  <si>
    <t>RWO</t>
  </si>
  <si>
    <t>橙</t>
  </si>
  <si>
    <t>D9R</t>
  </si>
  <si>
    <t>V1A</t>
  </si>
  <si>
    <t>WCL</t>
  </si>
  <si>
    <t>華山</t>
    <phoneticPr fontId="2" type="noConversion"/>
  </si>
  <si>
    <t>3AW</t>
  </si>
  <si>
    <t>W8G</t>
  </si>
  <si>
    <t>QLS</t>
  </si>
  <si>
    <t>93O</t>
  </si>
  <si>
    <t>橘</t>
    <phoneticPr fontId="2" type="noConversion"/>
  </si>
  <si>
    <t>6RR</t>
  </si>
  <si>
    <t>S6L</t>
  </si>
  <si>
    <t>JWL</t>
  </si>
  <si>
    <t>CXB</t>
  </si>
  <si>
    <t>DHL</t>
  </si>
  <si>
    <t>DAA</t>
  </si>
  <si>
    <t>KYR</t>
  </si>
  <si>
    <t>A32286N0T</t>
  </si>
  <si>
    <t>5OET005693XCHNBB</t>
  </si>
  <si>
    <t>遮蔽治具噴飛</t>
    <phoneticPr fontId="2" type="noConversion"/>
  </si>
  <si>
    <t>RXL</t>
  </si>
  <si>
    <t>YHY</t>
  </si>
  <si>
    <t>YJG</t>
  </si>
  <si>
    <t>GCS</t>
  </si>
  <si>
    <t>36A</t>
  </si>
  <si>
    <t>WDS</t>
  </si>
  <si>
    <t>P4L</t>
  </si>
  <si>
    <t>UPL</t>
  </si>
  <si>
    <t>HLL</t>
  </si>
  <si>
    <t>UYL</t>
  </si>
  <si>
    <t>1AS</t>
  </si>
  <si>
    <t>HHY</t>
  </si>
  <si>
    <t>黃</t>
    <phoneticPr fontId="2" type="noConversion"/>
  </si>
  <si>
    <t>MVL</t>
  </si>
  <si>
    <t>83L</t>
  </si>
  <si>
    <t>JSB</t>
  </si>
  <si>
    <t>A32286A1T</t>
  </si>
  <si>
    <t>5OET005693XCHVPL</t>
  </si>
  <si>
    <t>A3266410T</t>
  </si>
  <si>
    <t>5PPG006948XA0NGW</t>
  </si>
  <si>
    <t>Q7N</t>
  </si>
  <si>
    <t>VPL</t>
  </si>
  <si>
    <t>DES</t>
  </si>
  <si>
    <t>98L</t>
  </si>
  <si>
    <t>UZW</t>
  </si>
  <si>
    <t>R6L</t>
  </si>
  <si>
    <t>WVL</t>
  </si>
  <si>
    <t>HWW</t>
  </si>
  <si>
    <t>WFA</t>
  </si>
  <si>
    <t>WBR</t>
  </si>
  <si>
    <t>WAA</t>
  </si>
  <si>
    <t>灰</t>
    <phoneticPr fontId="2" type="noConversion"/>
  </si>
  <si>
    <t>JPL</t>
  </si>
  <si>
    <t>HNN</t>
  </si>
  <si>
    <t>KUS</t>
  </si>
  <si>
    <t>69W</t>
  </si>
  <si>
    <t>TFA</t>
  </si>
  <si>
    <t>NMB</t>
  </si>
  <si>
    <t>QKW</t>
  </si>
  <si>
    <t>HPP</t>
  </si>
  <si>
    <t>L3B</t>
  </si>
  <si>
    <t>紫</t>
    <phoneticPr fontId="2" type="noConversion"/>
  </si>
  <si>
    <t>F8A</t>
  </si>
  <si>
    <t>HJA</t>
  </si>
  <si>
    <t>WRS</t>
  </si>
  <si>
    <t>GGR</t>
  </si>
  <si>
    <t>WNS</t>
  </si>
  <si>
    <t>WMS</t>
  </si>
  <si>
    <t>WLL</t>
  </si>
  <si>
    <t>WKL</t>
  </si>
  <si>
    <t>WZL</t>
  </si>
  <si>
    <t>VVA</t>
    <phoneticPr fontId="2" type="noConversion"/>
  </si>
  <si>
    <t>J2W</t>
  </si>
  <si>
    <t>LBA</t>
  </si>
  <si>
    <t>GYR</t>
  </si>
  <si>
    <t>GLL</t>
  </si>
  <si>
    <t>X7W</t>
  </si>
  <si>
    <t>WXL</t>
  </si>
  <si>
    <t>X8A</t>
  </si>
  <si>
    <t>A3259230T</t>
  </si>
  <si>
    <t>A3259220T</t>
  </si>
  <si>
    <t>5OEG005976XAHNCB</t>
  </si>
  <si>
    <t>5OEG005976XAHNBB</t>
  </si>
  <si>
    <t>A3297920T</t>
  </si>
  <si>
    <t>5PPG007033XA0NGW</t>
  </si>
  <si>
    <t>A3279810T</t>
  </si>
  <si>
    <t>A32528G0T</t>
  </si>
  <si>
    <t>A3259270T</t>
  </si>
  <si>
    <t>A3297820T</t>
  </si>
  <si>
    <t>5PPG007024XA0NGW</t>
  </si>
  <si>
    <t>5OEG006036XAHS3B</t>
  </si>
  <si>
    <t>5OEG005976XAHQ9B</t>
  </si>
  <si>
    <t>5PPG007035XA0NGW</t>
  </si>
  <si>
    <t>A3297520T</t>
  </si>
  <si>
    <t>A32528Y1T</t>
  </si>
  <si>
    <t>A32592F0T</t>
  </si>
  <si>
    <t>A3298120T</t>
  </si>
  <si>
    <t>A3298020T</t>
  </si>
  <si>
    <t>5PPG007036XA0NGW</t>
  </si>
  <si>
    <t>5OEG006036XAHVLS</t>
  </si>
  <si>
    <t>5OEG005976XAHSYL</t>
  </si>
  <si>
    <t>5PPG007039XA0NGW</t>
  </si>
  <si>
    <t>5PPG007038XA0NGW</t>
  </si>
  <si>
    <t>A3252871T</t>
  </si>
  <si>
    <t>A3297950T</t>
  </si>
  <si>
    <t>5OEG006036XAHU3L</t>
  </si>
  <si>
    <t>5PPG007033XA0RRA</t>
  </si>
  <si>
    <t>A3228630T</t>
  </si>
  <si>
    <t>A32528Z1T</t>
  </si>
  <si>
    <t>5OET005693XCHNEA</t>
  </si>
  <si>
    <t>5OEG006036XAHVXW</t>
  </si>
  <si>
    <t>A32528X1T</t>
  </si>
  <si>
    <t>5OEG006036XAHVWL</t>
  </si>
  <si>
    <t>A32592C0T</t>
  </si>
  <si>
    <t>A32592D0T</t>
  </si>
  <si>
    <t>5OEG005976XAHRCA</t>
  </si>
  <si>
    <t>5OEG005976XAHSZR</t>
  </si>
  <si>
    <t>A32528C0T</t>
  </si>
  <si>
    <t>A3221740T</t>
  </si>
  <si>
    <t>A32592G0T</t>
  </si>
  <si>
    <t>5OEG006036XAHRZG</t>
  </si>
  <si>
    <t>5PPG105480XA078A</t>
  </si>
  <si>
    <t>5OEG005976XAHPLB</t>
  </si>
  <si>
    <t>A3252822T</t>
  </si>
  <si>
    <t>A32250A0T</t>
  </si>
  <si>
    <t>5OEG006036XAHWZL</t>
  </si>
  <si>
    <t>5OET005831XAH78A</t>
  </si>
  <si>
    <t>WQO</t>
  </si>
  <si>
    <t>橘</t>
  </si>
  <si>
    <t>A32592T0T</t>
  </si>
  <si>
    <t>A3225070T</t>
  </si>
  <si>
    <t>A3225022T</t>
  </si>
  <si>
    <t>5OEG005976XAHUUS</t>
  </si>
  <si>
    <t>5OET005831XAH75W</t>
  </si>
  <si>
    <t>5OET005831XAHWNS</t>
  </si>
  <si>
    <t>A3297770T</t>
  </si>
  <si>
    <t>A3280010T</t>
  </si>
  <si>
    <t>A3279910T</t>
  </si>
  <si>
    <t>A3221710T</t>
  </si>
  <si>
    <t>A3221730T</t>
  </si>
  <si>
    <t>5PPG007034XA0SYL</t>
  </si>
  <si>
    <t>5PPG007028XA0NGW</t>
  </si>
  <si>
    <t>5PPG007025XA0NGW</t>
  </si>
  <si>
    <t>5PPG105480XA075W</t>
  </si>
  <si>
    <t>5PPG105480XA076S</t>
  </si>
  <si>
    <t>JGN</t>
  </si>
  <si>
    <t>A3297620T</t>
  </si>
  <si>
    <t>A3221670T</t>
  </si>
  <si>
    <t>5PPG007037XA0NGW</t>
  </si>
  <si>
    <t>5PPG006832XA0WNS</t>
  </si>
  <si>
    <t>A32250S0T</t>
  </si>
  <si>
    <t>5OET005831XAHQDW</t>
  </si>
  <si>
    <t>72A</t>
    <phoneticPr fontId="2" type="noConversion"/>
  </si>
  <si>
    <t>A32217L0T</t>
  </si>
  <si>
    <t>5PPG105480XA0QDW</t>
  </si>
  <si>
    <t>JQL</t>
  </si>
  <si>
    <t>82W</t>
  </si>
  <si>
    <t>5PPG006944XA0NGW</t>
  </si>
  <si>
    <t>A32592B0T</t>
  </si>
  <si>
    <t>5OEG005976XAHN9B</t>
  </si>
  <si>
    <t>A3323770T</t>
  </si>
  <si>
    <t>A3323720T</t>
  </si>
  <si>
    <t>5OEG006037XAHTZB</t>
  </si>
  <si>
    <t>5OEG006037XAHWZL</t>
  </si>
  <si>
    <t>XBG</t>
  </si>
  <si>
    <t>A3000213T</t>
  </si>
  <si>
    <t>5SNT000002XA02US</t>
  </si>
  <si>
    <t>A30007BAT</t>
  </si>
  <si>
    <t>5SNT000007XA0WNS</t>
  </si>
  <si>
    <t>A3298150T</t>
  </si>
  <si>
    <t>5PPG007039XA0RRA</t>
  </si>
  <si>
    <t>A30003E0T</t>
  </si>
  <si>
    <t>5SNT000003XA039A</t>
  </si>
  <si>
    <t>XAG</t>
  </si>
  <si>
    <t>X9A</t>
  </si>
  <si>
    <t>XCS</t>
  </si>
  <si>
    <t>NKB</t>
  </si>
  <si>
    <t>A32286G0T</t>
  </si>
  <si>
    <t>5OET005693XCHNXW</t>
  </si>
  <si>
    <t>Q6S</t>
  </si>
  <si>
    <t>A3271530T</t>
  </si>
  <si>
    <t>來料不良</t>
    <phoneticPr fontId="2" type="noConversion"/>
  </si>
  <si>
    <t>流漆</t>
    <phoneticPr fontId="2" type="noConversion"/>
  </si>
  <si>
    <t>灰</t>
    <phoneticPr fontId="2" type="noConversion"/>
  </si>
  <si>
    <t>元件</t>
    <phoneticPr fontId="2" type="noConversion"/>
  </si>
  <si>
    <t>XCB</t>
  </si>
  <si>
    <t>檢查日</t>
    <phoneticPr fontId="2" type="noConversion"/>
  </si>
  <si>
    <t>噴塗日</t>
    <phoneticPr fontId="2" type="noConversion"/>
  </si>
  <si>
    <t>噴塗
時間</t>
    <phoneticPr fontId="2" type="noConversion"/>
  </si>
  <si>
    <t>MZY</t>
  </si>
  <si>
    <t>砂礫</t>
    <phoneticPr fontId="2" type="noConversion"/>
  </si>
  <si>
    <t>備註</t>
    <phoneticPr fontId="2" type="noConversion"/>
  </si>
  <si>
    <t>顏色
代碼</t>
    <phoneticPr fontId="2" type="noConversion"/>
  </si>
  <si>
    <t>白點</t>
    <phoneticPr fontId="2" type="noConversion"/>
  </si>
  <si>
    <t>毛屑</t>
    <phoneticPr fontId="2" type="noConversion"/>
  </si>
  <si>
    <t>備註
右(R)  左(L)</t>
    <phoneticPr fontId="2" type="noConversion"/>
  </si>
  <si>
    <t>其他不良</t>
    <phoneticPr fontId="2" type="noConversion"/>
  </si>
  <si>
    <t>色差</t>
    <phoneticPr fontId="2" type="noConversion"/>
  </si>
  <si>
    <t>針孔</t>
    <phoneticPr fontId="2" type="noConversion"/>
  </si>
  <si>
    <t>凹痕</t>
    <phoneticPr fontId="2" type="noConversion"/>
  </si>
  <si>
    <t>A3252882T</t>
  </si>
  <si>
    <t>5OEG006036XAHXNA</t>
  </si>
  <si>
    <t>XNA</t>
  </si>
  <si>
    <t>霧面灰</t>
    <phoneticPr fontId="2" type="noConversion"/>
  </si>
  <si>
    <t>TWL</t>
  </si>
  <si>
    <t>A3252842T</t>
  </si>
  <si>
    <t>5OEG006036XAHX8A</t>
  </si>
  <si>
    <t>XJL</t>
  </si>
  <si>
    <t>XLA</t>
  </si>
  <si>
    <t>PMA</t>
  </si>
  <si>
    <t>PQR</t>
  </si>
  <si>
    <r>
      <t>E4.5關(排風全開)、</t>
    </r>
    <r>
      <rPr>
        <sz val="11"/>
        <color rgb="FF00B0F0"/>
        <rFont val="標楷體"/>
        <family val="4"/>
        <charset val="136"/>
      </rPr>
      <t>E2E3後段40</t>
    </r>
    <r>
      <rPr>
        <sz val="12"/>
        <color theme="1"/>
        <rFont val="新細明體"/>
        <family val="2"/>
        <charset val="136"/>
        <scheme val="minor"/>
      </rPr>
      <t/>
    </r>
  </si>
  <si>
    <t>XMR</t>
  </si>
  <si>
    <t>敦陽</t>
    <phoneticPr fontId="2" type="noConversion"/>
  </si>
  <si>
    <t>紅</t>
    <phoneticPr fontId="2" type="noConversion"/>
  </si>
  <si>
    <t>X2W</t>
    <phoneticPr fontId="2" type="noConversion"/>
  </si>
  <si>
    <t>X3A</t>
  </si>
  <si>
    <t>邦善</t>
    <phoneticPr fontId="2" type="noConversion"/>
  </si>
  <si>
    <t>灰</t>
    <phoneticPr fontId="2" type="noConversion"/>
  </si>
  <si>
    <t>XQA</t>
    <phoneticPr fontId="2" type="noConversion"/>
  </si>
  <si>
    <t>XKA</t>
    <phoneticPr fontId="2" type="noConversion"/>
  </si>
  <si>
    <t>碳霧灰</t>
    <phoneticPr fontId="2" type="noConversion"/>
  </si>
  <si>
    <t>PTS</t>
    <phoneticPr fontId="2" type="noConversion"/>
  </si>
  <si>
    <r>
      <t>E4.5關(排風全開)、</t>
    </r>
    <r>
      <rPr>
        <sz val="11"/>
        <color rgb="FF00B0F0"/>
        <rFont val="標楷體"/>
        <family val="4"/>
        <charset val="136"/>
      </rPr>
      <t>E2E3後段40、內圍毛邊</t>
    </r>
    <phoneticPr fontId="2" type="noConversion"/>
  </si>
  <si>
    <t>A3322010T</t>
  </si>
  <si>
    <t>A32217U0T</t>
  </si>
  <si>
    <t>A3326840T</t>
  </si>
  <si>
    <t>A3281180T</t>
  </si>
  <si>
    <t>A3266310T</t>
  </si>
  <si>
    <t>A3270310T</t>
  </si>
  <si>
    <t>A30007G0T</t>
  </si>
  <si>
    <t>A3252881T</t>
  </si>
  <si>
    <t>A3247490T</t>
  </si>
  <si>
    <t>A3271730T</t>
  </si>
  <si>
    <t>A3323760T</t>
  </si>
  <si>
    <t>A3243470T</t>
  </si>
  <si>
    <t>5PPG007078XA0Q9B</t>
  </si>
  <si>
    <t>5PPG105480XA0BBB</t>
  </si>
  <si>
    <t>5PPG007121XA0X2W</t>
  </si>
  <si>
    <t>5PPG007010XA0Q9B</t>
  </si>
  <si>
    <t>5PPG006947XA0NGW</t>
  </si>
  <si>
    <t>5OEG006063XAHBBB</t>
  </si>
  <si>
    <t>5SNT000007XA04BB</t>
  </si>
  <si>
    <t>5OEG006036XAHTXA</t>
  </si>
  <si>
    <t>5PPG105301XC0NGW</t>
  </si>
  <si>
    <t>5PPG006942XA0NGW</t>
  </si>
  <si>
    <t>5OEG006037XAHTXA</t>
  </si>
  <si>
    <t>5PPG006892XA075W</t>
  </si>
  <si>
    <r>
      <t>E4.5關(排風全開)、</t>
    </r>
    <r>
      <rPr>
        <sz val="11"/>
        <color rgb="FF00B0F0"/>
        <rFont val="標楷體"/>
        <family val="4"/>
        <charset val="136"/>
      </rPr>
      <t>E2E3後段40、壓痕38</t>
    </r>
    <phoneticPr fontId="2" type="noConversion"/>
  </si>
  <si>
    <t>A3214540T</t>
  </si>
  <si>
    <t>A3225090T</t>
  </si>
  <si>
    <t>A3228691T</t>
  </si>
  <si>
    <t>A3214530T</t>
  </si>
  <si>
    <t>A3297410T</t>
  </si>
  <si>
    <t>A3228610T</t>
  </si>
  <si>
    <t>A32592A0T</t>
  </si>
  <si>
    <t>A3225120T</t>
  </si>
  <si>
    <t>A3225130T</t>
  </si>
  <si>
    <t>A3225110T</t>
  </si>
  <si>
    <t>TA000115200</t>
  </si>
  <si>
    <t>5OET005635XAH84B</t>
  </si>
  <si>
    <t>5OET005831XAH76S</t>
  </si>
  <si>
    <t>5OET005693XCHUUS</t>
  </si>
  <si>
    <t>5OET005635XAH78A</t>
  </si>
  <si>
    <t>5OEG006117XAHVKB</t>
  </si>
  <si>
    <t>5OET005693XCHNGW</t>
  </si>
  <si>
    <t>5OEG005976XAHRRA</t>
  </si>
  <si>
    <t>5PPG006742XC078A</t>
  </si>
  <si>
    <t>5PPG006742XC084B</t>
  </si>
  <si>
    <t>5PPG006742XC076S</t>
  </si>
  <si>
    <t>5OET005635XAH76S</t>
  </si>
  <si>
    <t>A32974A0T</t>
  </si>
  <si>
    <t>A3280110T</t>
  </si>
  <si>
    <t>A32251D0T</t>
  </si>
  <si>
    <t>A3268550T</t>
  </si>
  <si>
    <t>A30047X0T</t>
  </si>
  <si>
    <t>A3214550T</t>
  </si>
  <si>
    <t>A3271830T</t>
  </si>
  <si>
    <t>A3297390T</t>
  </si>
  <si>
    <t>5OEG006117XAHXCB</t>
  </si>
  <si>
    <t>5PPG007029XA0NGW</t>
  </si>
  <si>
    <t>5PPG006742XC0WQO</t>
  </si>
  <si>
    <t>5PPG006970XA0NEA</t>
  </si>
  <si>
    <t>5SNT000046XA028A</t>
  </si>
  <si>
    <t>5OET005635XAH87L</t>
  </si>
  <si>
    <t>5PPG006943XA0NGW</t>
  </si>
  <si>
    <t>5OEG006116XAHVKB</t>
  </si>
  <si>
    <t>87L</t>
  </si>
  <si>
    <t>28A</t>
  </si>
  <si>
    <t>A3001070T</t>
  </si>
  <si>
    <t>A3297720T</t>
  </si>
  <si>
    <t>5SNT000010XA0BBB</t>
  </si>
  <si>
    <t>5PPG007034XA0NGW</t>
  </si>
  <si>
    <t>A3252890T</t>
  </si>
  <si>
    <t>A3252810T</t>
  </si>
  <si>
    <t>A3252840T</t>
  </si>
  <si>
    <t>A3266470T</t>
  </si>
  <si>
    <t>5OEG006036XAHQXR</t>
  </si>
  <si>
    <t>5OEG006036XAHQSB</t>
  </si>
  <si>
    <t>5OEG006036XAHR2L</t>
  </si>
  <si>
    <t>5PPG006948XA0RCA</t>
  </si>
  <si>
    <t>A3297880T</t>
  </si>
  <si>
    <t>A3266440T</t>
  </si>
  <si>
    <t>A3225010T</t>
  </si>
  <si>
    <t>A30007H0T</t>
  </si>
  <si>
    <t>A3297970T</t>
  </si>
  <si>
    <t>A3268650T</t>
  </si>
  <si>
    <t>A3298080T</t>
  </si>
  <si>
    <t>A3221620T</t>
  </si>
  <si>
    <t>5PPG007035XA0NRR</t>
  </si>
  <si>
    <t>5PPG006948XA0RDR</t>
  </si>
  <si>
    <t>5OET005831XAH4PW</t>
  </si>
  <si>
    <t>5SNT000007XA04PW</t>
  </si>
  <si>
    <t>5PPG007033XA0SYL</t>
  </si>
  <si>
    <t>5PPG006971XA0NEA</t>
  </si>
  <si>
    <t>5PPG007038XA0NRR</t>
  </si>
  <si>
    <t>5PPG006832XA04PW</t>
  </si>
  <si>
    <t>A3252880T</t>
  </si>
  <si>
    <t>A3247510T</t>
  </si>
  <si>
    <t>5OEG006036XAHQVA</t>
  </si>
  <si>
    <t>5PPG105423XA0N8B</t>
  </si>
  <si>
    <r>
      <t>E4.5關(排風全開)、</t>
    </r>
    <r>
      <rPr>
        <sz val="11"/>
        <color rgb="FF00B0F0"/>
        <rFont val="標楷體"/>
        <family val="4"/>
        <charset val="136"/>
      </rPr>
      <t>E2E3後段40、漆不均*24</t>
    </r>
    <phoneticPr fontId="2" type="noConversion"/>
  </si>
  <si>
    <t>A32528A1T</t>
  </si>
  <si>
    <t>A32528D0T</t>
  </si>
  <si>
    <t>A3247610T</t>
  </si>
  <si>
    <t>A32714C0T</t>
  </si>
  <si>
    <t>A3252892T</t>
  </si>
  <si>
    <t>A33237A0T</t>
  </si>
  <si>
    <t>A3323780T</t>
  </si>
  <si>
    <t>A33237D0T</t>
  </si>
  <si>
    <t>A32528E0T</t>
  </si>
  <si>
    <t>5PPG105424XA0N8B</t>
  </si>
  <si>
    <t>5OEG006036XAHTUR</t>
  </si>
  <si>
    <t>5OEG006036XAHS8A</t>
  </si>
  <si>
    <t>5PPG006941XA0WXL</t>
  </si>
  <si>
    <t>5OEG006036XAHXJL</t>
  </si>
  <si>
    <t>5OEG006037XAHX8A</t>
  </si>
  <si>
    <t>5OEG006037XAHX7W</t>
  </si>
  <si>
    <t>5OEG006037XAHXNA</t>
  </si>
  <si>
    <t>5OEG006036XAHSAA</t>
  </si>
  <si>
    <r>
      <t>E4.5關(排風全開)、</t>
    </r>
    <r>
      <rPr>
        <sz val="11"/>
        <color rgb="FF00B0F0"/>
        <rFont val="標楷體"/>
        <family val="4"/>
        <charset val="136"/>
      </rPr>
      <t>E2E3後段40、色差*266</t>
    </r>
    <phoneticPr fontId="2" type="noConversion"/>
  </si>
  <si>
    <t>A3298030T</t>
  </si>
  <si>
    <t>A3321610T</t>
  </si>
  <si>
    <t>A3298090T</t>
  </si>
  <si>
    <t>A3298180T</t>
  </si>
  <si>
    <t>A3252870T</t>
  </si>
  <si>
    <t>A3271550T</t>
  </si>
  <si>
    <t>5PPG007038XA0QFA</t>
  </si>
  <si>
    <t>5PPG007072XA0Q9B</t>
  </si>
  <si>
    <t>5PPG007038XA0WXL</t>
  </si>
  <si>
    <t>5PPG007039XA0NRR</t>
  </si>
  <si>
    <t>5OEG006036XAHQUW</t>
  </si>
  <si>
    <t>5PPG006944XA0NQB</t>
  </si>
  <si>
    <t>A32400L0T</t>
  </si>
  <si>
    <t>A3240080T</t>
  </si>
  <si>
    <t>A3252891T</t>
  </si>
  <si>
    <t>A32144K0T</t>
  </si>
  <si>
    <t>A33237C0T</t>
  </si>
  <si>
    <t>A33237B0T</t>
  </si>
  <si>
    <t>A3240063T</t>
  </si>
  <si>
    <t>A3240061T</t>
  </si>
  <si>
    <t>A32400P2T</t>
  </si>
  <si>
    <t>A32400H1T</t>
  </si>
  <si>
    <t>5OEG005858XCHJSB</t>
  </si>
  <si>
    <t>5OEG005858XCHHWW</t>
  </si>
  <si>
    <t>5OEG006036XAHTZB</t>
  </si>
  <si>
    <t>5OET005444XAHWRS</t>
  </si>
  <si>
    <t>5OEG006037XAHX9A</t>
  </si>
  <si>
    <t>5OEG006037XAHXCS</t>
  </si>
  <si>
    <t>5OEG005858XCHYJG</t>
  </si>
  <si>
    <t>5OEG005858XCHL3B</t>
  </si>
  <si>
    <t>5OEG005858XCHRKB</t>
  </si>
  <si>
    <t>5OEG005858XCHM2W</t>
  </si>
  <si>
    <r>
      <t>E4.5關(排風全開)、</t>
    </r>
    <r>
      <rPr>
        <sz val="11"/>
        <color rgb="FF00B0F0"/>
        <rFont val="標楷體"/>
        <family val="4"/>
        <charset val="136"/>
      </rPr>
      <t>E2E3後段40、除漆品</t>
    </r>
    <phoneticPr fontId="2" type="noConversion"/>
  </si>
  <si>
    <t>A3279830T</t>
  </si>
  <si>
    <t>A3299180T</t>
  </si>
  <si>
    <t>A3266340T</t>
  </si>
  <si>
    <t>A3298920T</t>
  </si>
  <si>
    <t>5PPG007024XA0RCA</t>
  </si>
  <si>
    <t>5PPG007064XA0RDR</t>
  </si>
  <si>
    <t>5PPG006947XA0RDR</t>
  </si>
  <si>
    <t>5PPG007062XA0NBB</t>
  </si>
  <si>
    <r>
      <t>E4.5關(排風全開)、</t>
    </r>
    <r>
      <rPr>
        <sz val="11"/>
        <color rgb="FF00B0F0"/>
        <rFont val="標楷體"/>
        <family val="4"/>
        <charset val="136"/>
      </rPr>
      <t>E2E3後段40、噴飛*2</t>
    </r>
    <phoneticPr fontId="2" type="noConversion"/>
  </si>
  <si>
    <t>A3221130T</t>
  </si>
  <si>
    <t>A3299290T</t>
  </si>
  <si>
    <t>A32716A0T</t>
  </si>
  <si>
    <t>A3280130T</t>
  </si>
  <si>
    <t>A3220510T</t>
  </si>
  <si>
    <t>A3221750T</t>
  </si>
  <si>
    <t>A3221180T</t>
  </si>
  <si>
    <t>A32145E0T</t>
  </si>
  <si>
    <t>A3214510T</t>
  </si>
  <si>
    <t>A3225100T</t>
  </si>
  <si>
    <t>A30047A1T</t>
  </si>
  <si>
    <t>A30007N0T</t>
  </si>
  <si>
    <t>A30007N1T</t>
  </si>
  <si>
    <t>A3247420T</t>
  </si>
  <si>
    <t>A3247450T</t>
  </si>
  <si>
    <t>5PPG006647XB019W</t>
  </si>
  <si>
    <t>5PPG007065XA0UZW</t>
  </si>
  <si>
    <t>5PPG006945XA0UUS</t>
  </si>
  <si>
    <t>5PPG007029XA0RCA</t>
  </si>
  <si>
    <t>5PPG006456XB0YYZ</t>
  </si>
  <si>
    <t>5PPG105480XA084B</t>
  </si>
  <si>
    <t>5PPG006647XB071A</t>
  </si>
  <si>
    <t>5OET005635XAHWQO</t>
  </si>
  <si>
    <t>5OET005635XAH75W</t>
  </si>
  <si>
    <t>5PPG006742XC075W</t>
  </si>
  <si>
    <t>5SNT000046XA062R</t>
  </si>
  <si>
    <t>5SNT000007XA062R</t>
  </si>
  <si>
    <t>5SNT000007XA0EHL</t>
  </si>
  <si>
    <t>5PPG105301XC0PNN</t>
  </si>
  <si>
    <t>5PPG105301XC0NFS</t>
  </si>
  <si>
    <t>A3228641T</t>
  </si>
  <si>
    <t>5OET005693XCHQ7N</t>
  </si>
  <si>
    <t>PNN</t>
    <phoneticPr fontId="2" type="noConversion"/>
  </si>
  <si>
    <t>棕</t>
    <phoneticPr fontId="2" type="noConversion"/>
  </si>
  <si>
    <t>A3280160T</t>
  </si>
  <si>
    <t>A30007P0T</t>
  </si>
  <si>
    <t>5PPG007029XA0SZR</t>
  </si>
  <si>
    <t>5SNT000007XA064W</t>
  </si>
  <si>
    <t>A3297980T</t>
  </si>
  <si>
    <t>A3259260T</t>
  </si>
  <si>
    <t>A3214590T</t>
  </si>
  <si>
    <t>A32400X0T</t>
  </si>
  <si>
    <t>A3271430T</t>
  </si>
  <si>
    <t>A3271630T</t>
  </si>
  <si>
    <t>A3326620T</t>
  </si>
  <si>
    <t>5PPG006941XA0NGW</t>
  </si>
  <si>
    <t>5OET005635XAHH3R</t>
  </si>
  <si>
    <t>5PPG007119XA0QFA</t>
  </si>
  <si>
    <t>5PPG006945XA0NGW</t>
  </si>
  <si>
    <t>5PPG007033XA0NRR</t>
  </si>
  <si>
    <t>5OEG005976XAHNGW</t>
  </si>
  <si>
    <t>5OEG005858XCHKTW</t>
  </si>
  <si>
    <r>
      <t>E4.5關(排風全開)、</t>
    </r>
    <r>
      <rPr>
        <sz val="11"/>
        <color rgb="FF00B0F0"/>
        <rFont val="標楷體"/>
        <family val="4"/>
        <charset val="136"/>
      </rPr>
      <t>E2E3後段40、去漆品</t>
    </r>
    <phoneticPr fontId="2" type="noConversion"/>
  </si>
  <si>
    <t>A32286T0T</t>
  </si>
  <si>
    <t>A3326720T</t>
  </si>
  <si>
    <t>A3326520T</t>
  </si>
  <si>
    <t>A3271350T</t>
  </si>
  <si>
    <t>A3225030T</t>
  </si>
  <si>
    <t>A3321710T</t>
  </si>
  <si>
    <t>A3271650T</t>
  </si>
  <si>
    <t>5OET005693XCHPTS</t>
  </si>
  <si>
    <t>5PPG007120XA0QFA</t>
  </si>
  <si>
    <t>5PPG007118XA0QFA</t>
  </si>
  <si>
    <t>5PPG006940XA0NQB</t>
  </si>
  <si>
    <t>5OET005831XAH6HA</t>
  </si>
  <si>
    <t>5PPG007071XA0Q9B</t>
  </si>
  <si>
    <t>5PPG006945XA0NQB</t>
  </si>
  <si>
    <r>
      <t>E4.5關(排風全開)、</t>
    </r>
    <r>
      <rPr>
        <sz val="11"/>
        <color rgb="FF00B0F0"/>
        <rFont val="標楷體"/>
        <family val="4"/>
        <charset val="136"/>
      </rPr>
      <t>E2E3後段40、薄噴*31</t>
    </r>
    <phoneticPr fontId="2" type="noConversion"/>
  </si>
  <si>
    <t>A3221640T</t>
  </si>
  <si>
    <t>A3240610T</t>
  </si>
  <si>
    <t>5PPG006832XA06HA</t>
  </si>
  <si>
    <t>5PPG006895XA0KTW</t>
  </si>
  <si>
    <t>A3279930T</t>
  </si>
  <si>
    <t>A3240093T</t>
  </si>
  <si>
    <t>A32717B0T</t>
  </si>
  <si>
    <t>5PPG007025XA0RCA</t>
  </si>
  <si>
    <t>5OEG005858XCHXMR</t>
  </si>
  <si>
    <t>5PPG006942XA0RRA</t>
  </si>
  <si>
    <t>A3299260T</t>
  </si>
  <si>
    <t>A3228640T</t>
  </si>
  <si>
    <t>A3298130T</t>
  </si>
  <si>
    <t>5PPG007065XA0RRA</t>
  </si>
  <si>
    <t>5OET005693XCHNCB</t>
  </si>
  <si>
    <t>5PPG007039XA0QFA</t>
  </si>
  <si>
    <t>A32592M0T</t>
  </si>
  <si>
    <t>A32592H0T</t>
  </si>
  <si>
    <t>A3271480T</t>
  </si>
  <si>
    <t>A3279860T</t>
  </si>
  <si>
    <t>A32250H0T</t>
  </si>
  <si>
    <t>5OEG005976XAH42W</t>
  </si>
  <si>
    <t>5OEG005976XAHVEA</t>
  </si>
  <si>
    <t>5PPG006941XAAN8B</t>
  </si>
  <si>
    <t>5PPG007024XA0SZR</t>
  </si>
  <si>
    <t>5OET005831XAH05W</t>
  </si>
  <si>
    <t>A32400F2T</t>
  </si>
  <si>
    <t>A3228681T</t>
  </si>
  <si>
    <t>A32286Z0T</t>
  </si>
  <si>
    <t>5OEG005858XCHLWB</t>
  </si>
  <si>
    <t>5OET005693XCHR7A</t>
  </si>
  <si>
    <t>5OET005693XCHPLB</t>
  </si>
  <si>
    <r>
      <t>E4.5關(排風全開)、</t>
    </r>
    <r>
      <rPr>
        <sz val="11"/>
        <color rgb="FF00B0F0"/>
        <rFont val="標楷體"/>
        <family val="4"/>
        <charset val="136"/>
      </rPr>
      <t>E2E3後段40、飛*10</t>
    </r>
    <phoneticPr fontId="2" type="noConversion"/>
  </si>
  <si>
    <t>A32400Y1T</t>
  </si>
  <si>
    <t>A3240073T</t>
  </si>
  <si>
    <t>A32474M0T</t>
  </si>
  <si>
    <t>A3299020T</t>
  </si>
  <si>
    <t>A3271750T</t>
  </si>
  <si>
    <t>5OEG005858XCHHTW</t>
  </si>
  <si>
    <t>5OEG005858XCHWDS</t>
  </si>
  <si>
    <t>5PPG105301XC0R7A</t>
  </si>
  <si>
    <t>5PPG007063XA0NBB</t>
  </si>
  <si>
    <t>5PPG006942XA0NQB</t>
  </si>
  <si>
    <t>A3321910T</t>
  </si>
  <si>
    <t>A3243440T</t>
  </si>
  <si>
    <t>5PPG007075XA0Q9B</t>
  </si>
  <si>
    <t>5PPG006892XA0H3R</t>
  </si>
  <si>
    <t>A3297570T</t>
  </si>
  <si>
    <t>A3240043T</t>
  </si>
  <si>
    <t>A32400Q2T</t>
  </si>
  <si>
    <t>A32973C0T</t>
  </si>
  <si>
    <t>A32974D0T</t>
  </si>
  <si>
    <t>A3321810T</t>
  </si>
  <si>
    <t>5PPG007036XA0SYL</t>
  </si>
  <si>
    <t>5OEG005858XCHVEA</t>
  </si>
  <si>
    <t>5OEG005858XCHTFA</t>
  </si>
  <si>
    <t>5OEG006116XAHXFW</t>
  </si>
  <si>
    <t>5OEG006117XAHXFW</t>
  </si>
  <si>
    <t>5PPG007076XA0Q9B</t>
  </si>
  <si>
    <r>
      <t>E4.5關(排風全開)、</t>
    </r>
    <r>
      <rPr>
        <sz val="11"/>
        <color rgb="FF00B0F0"/>
        <rFont val="標楷體"/>
        <family val="4"/>
        <charset val="136"/>
      </rPr>
      <t>E2E3後段40、凹痕*7</t>
    </r>
    <phoneticPr fontId="2" type="noConversion"/>
  </si>
  <si>
    <r>
      <t>E4.5關(排風全開)、</t>
    </r>
    <r>
      <rPr>
        <sz val="11"/>
        <color rgb="FF00B0F0"/>
        <rFont val="標楷體"/>
        <family val="4"/>
        <charset val="136"/>
      </rPr>
      <t>E2E3後段40、凹痕*9</t>
    </r>
    <phoneticPr fontId="2" type="noConversion"/>
  </si>
  <si>
    <r>
      <t>E4.5關(排風全開)、</t>
    </r>
    <r>
      <rPr>
        <sz val="11"/>
        <color rgb="FF00B0F0"/>
        <rFont val="標楷體"/>
        <family val="4"/>
        <charset val="136"/>
      </rPr>
      <t>E2E3後段40、凹痕*24</t>
    </r>
    <phoneticPr fontId="2" type="noConversion"/>
  </si>
  <si>
    <t>敦陽</t>
    <phoneticPr fontId="2" type="noConversion"/>
  </si>
  <si>
    <t>XFW</t>
    <phoneticPr fontId="2" type="noConversion"/>
  </si>
  <si>
    <t>A3298190T</t>
  </si>
  <si>
    <t>A32400U2T</t>
  </si>
  <si>
    <t>5PPG007039XA0WXL</t>
  </si>
  <si>
    <t>5OEG005858XCH42W</t>
  </si>
  <si>
    <r>
      <t>E4.5關(排風全開)、</t>
    </r>
    <r>
      <rPr>
        <sz val="11"/>
        <color rgb="FF00B0F0"/>
        <rFont val="標楷體"/>
        <family val="4"/>
        <charset val="136"/>
      </rPr>
      <t>E2E3後段40、除漆品</t>
    </r>
    <phoneticPr fontId="2" type="noConversion"/>
  </si>
  <si>
    <r>
      <t>E4.5關(排風全開)、</t>
    </r>
    <r>
      <rPr>
        <sz val="11"/>
        <color rgb="FF00B0F0"/>
        <rFont val="標楷體"/>
        <family val="4"/>
        <charset val="136"/>
      </rPr>
      <t>E2E3後段40、色差*130</t>
    </r>
    <phoneticPr fontId="2" type="noConversion"/>
  </si>
  <si>
    <t>A3001841T</t>
  </si>
  <si>
    <t>A32526C0T</t>
  </si>
  <si>
    <t>5SNT000018XA0CKA</t>
  </si>
  <si>
    <t>5SNT000036XA042W</t>
  </si>
  <si>
    <r>
      <t>E4.5關(排風全開)、</t>
    </r>
    <r>
      <rPr>
        <sz val="11"/>
        <color rgb="FF00B0F0"/>
        <rFont val="標楷體"/>
        <family val="4"/>
        <charset val="136"/>
      </rPr>
      <t>E2E3後段40、除漆品</t>
    </r>
    <phoneticPr fontId="2" type="noConversion"/>
  </si>
  <si>
    <t>A3326820T</t>
  </si>
  <si>
    <t>A3322110T</t>
  </si>
  <si>
    <t>A32400G1T</t>
  </si>
  <si>
    <t>A32400A0T</t>
  </si>
  <si>
    <t>A32400U0T</t>
  </si>
  <si>
    <t>A32400C1T</t>
  </si>
  <si>
    <t>A32400B0T</t>
  </si>
  <si>
    <t>A3240053T</t>
  </si>
  <si>
    <t>A3228651T</t>
  </si>
  <si>
    <t>5PPG007121XA0QFA</t>
  </si>
  <si>
    <t>5PPG007077XA0Q9B</t>
  </si>
  <si>
    <t>5OEG005858XCHLYB</t>
  </si>
  <si>
    <t>5OEG005858XCHHJA</t>
  </si>
  <si>
    <t>5OEG005858XCHHLL</t>
  </si>
  <si>
    <t>5OEG005858XCHL9G</t>
  </si>
  <si>
    <t>5OEG005858XCHJCB</t>
  </si>
  <si>
    <t>5OEG005858XCHYHY</t>
  </si>
  <si>
    <t>5OET005693XCHQHR</t>
  </si>
  <si>
    <t>A3299160T</t>
  </si>
  <si>
    <t>5PPG007064XA0RRA</t>
  </si>
  <si>
    <t>A3297670T</t>
  </si>
  <si>
    <t>5PPG007037XA0SYL</t>
  </si>
  <si>
    <t>A3214480T</t>
  </si>
  <si>
    <t>A3214420T</t>
  </si>
  <si>
    <t>A3249560T</t>
  </si>
  <si>
    <t>A3271660T</t>
  </si>
  <si>
    <t>A3268590T</t>
  </si>
  <si>
    <t>A3298070T</t>
  </si>
  <si>
    <t>A3247470T</t>
  </si>
  <si>
    <t>A32495A0T</t>
  </si>
  <si>
    <t>A3271220T</t>
  </si>
  <si>
    <t>A3214430T</t>
  </si>
  <si>
    <t>A3221120T</t>
  </si>
  <si>
    <t>A3252852T</t>
  </si>
  <si>
    <t>A3252862T</t>
  </si>
  <si>
    <t>5OET005444XAH71A</t>
  </si>
  <si>
    <t>5OET005444XAH09B</t>
  </si>
  <si>
    <t>5PPG105316XC0NEA</t>
  </si>
  <si>
    <t>5PPG006945XA0NRR</t>
  </si>
  <si>
    <t>5PPG006970XA0RLR</t>
  </si>
  <si>
    <t>5PPG007038XA0SYL</t>
  </si>
  <si>
    <t>5PPG105301XC0N4L</t>
  </si>
  <si>
    <t>5PPG105316XC0NXW</t>
  </si>
  <si>
    <t>5PPG006939XA0NRR</t>
  </si>
  <si>
    <t>5OET005444XAH19W</t>
  </si>
  <si>
    <t>5PPG006647XB009B</t>
  </si>
  <si>
    <t>5OEG006036XAHXCS</t>
  </si>
  <si>
    <t>5OEG006036XAHX9A</t>
  </si>
  <si>
    <r>
      <t>E4.5關(排風全開)、</t>
    </r>
    <r>
      <rPr>
        <sz val="11"/>
        <color rgb="FF00B0F0"/>
        <rFont val="標楷體"/>
        <family val="4"/>
        <charset val="136"/>
      </rPr>
      <t>E2E3後段40、飛*3</t>
    </r>
    <phoneticPr fontId="2" type="noConversion"/>
  </si>
  <si>
    <r>
      <t>E4.5關(排風全開)、</t>
    </r>
    <r>
      <rPr>
        <sz val="11"/>
        <color rgb="FF00B0F0"/>
        <rFont val="標楷體"/>
        <family val="4"/>
        <charset val="136"/>
      </rPr>
      <t>E2E3後段40、去漆品</t>
    </r>
    <phoneticPr fontId="2" type="noConversion"/>
  </si>
  <si>
    <r>
      <t>E4.5關(排風全開)、</t>
    </r>
    <r>
      <rPr>
        <sz val="11"/>
        <color rgb="FF00B0F0"/>
        <rFont val="標楷體"/>
        <family val="4"/>
        <charset val="136"/>
      </rPr>
      <t>E2E3後段40、有毒</t>
    </r>
    <phoneticPr fontId="2" type="noConversion"/>
  </si>
  <si>
    <t>A3252832T</t>
  </si>
  <si>
    <t>A3271120T</t>
  </si>
  <si>
    <t>5OEG006036XAHX7W</t>
  </si>
  <si>
    <t>5PPG006938XA0NRR</t>
  </si>
  <si>
    <t>A32685B0T</t>
  </si>
  <si>
    <t>A32686B0T</t>
  </si>
  <si>
    <t>A3280030T</t>
  </si>
  <si>
    <t>A32250D0T</t>
  </si>
  <si>
    <t>A3221770T</t>
  </si>
  <si>
    <t>A32217C0T</t>
  </si>
  <si>
    <t>5PPG006970XAAN8B</t>
  </si>
  <si>
    <t>5PPG006971XAAN8B</t>
  </si>
  <si>
    <t>5PPG007028XA0RCA</t>
  </si>
  <si>
    <t>5OET005831XAHMXS</t>
  </si>
  <si>
    <t>5PPG105480XA0MXS</t>
  </si>
  <si>
    <t>5PPG105480XA005W</t>
  </si>
  <si>
    <t>A3268670T</t>
  </si>
  <si>
    <t>A30009G0T</t>
  </si>
  <si>
    <t>5PPG006971XA0NGW</t>
  </si>
  <si>
    <t>5SNT000009XA039A</t>
  </si>
  <si>
    <t>A3299140T</t>
  </si>
  <si>
    <t>A3280060T</t>
  </si>
  <si>
    <t>5PPG007064XA0NGW</t>
  </si>
  <si>
    <t>5PPG007028XA0SZR</t>
  </si>
  <si>
    <r>
      <t>E4.5關(排風全開)、</t>
    </r>
    <r>
      <rPr>
        <sz val="11"/>
        <color rgb="FF00B0F0"/>
        <rFont val="標楷體"/>
        <family val="4"/>
        <charset val="136"/>
      </rPr>
      <t>E2E3後段40、除漆品</t>
    </r>
    <phoneticPr fontId="2" type="noConversion"/>
  </si>
  <si>
    <r>
      <t>E4.5關(排風全開)、</t>
    </r>
    <r>
      <rPr>
        <sz val="11"/>
        <color rgb="FF00B0F0"/>
        <rFont val="標楷體"/>
        <family val="4"/>
        <charset val="136"/>
      </rPr>
      <t>E2E3後段40、除漆品</t>
    </r>
    <phoneticPr fontId="2" type="noConversion"/>
  </si>
  <si>
    <r>
      <t>E4.5關(排風全開)、</t>
    </r>
    <r>
      <rPr>
        <sz val="11"/>
        <color rgb="FF00B0F0"/>
        <rFont val="標楷體"/>
        <family val="4"/>
        <charset val="136"/>
      </rPr>
      <t>E2E3後段40、毛邊*25</t>
    </r>
    <phoneticPr fontId="2" type="noConversion"/>
  </si>
  <si>
    <t>A32663B0T</t>
  </si>
  <si>
    <t>A32664B0T</t>
  </si>
  <si>
    <t>A3271380T</t>
  </si>
  <si>
    <t>A3268570T</t>
  </si>
  <si>
    <t>A3000270T</t>
  </si>
  <si>
    <t>A30007R0T</t>
  </si>
  <si>
    <t>A32991A0T</t>
  </si>
  <si>
    <t>5PPG006947XA0N8B</t>
  </si>
  <si>
    <t>5PPG006948XA0N8B</t>
  </si>
  <si>
    <t>5PPG006940XAAN8B</t>
  </si>
  <si>
    <t>5PPG006970XA0NGW</t>
  </si>
  <si>
    <t>5SNT000002XA06HA</t>
  </si>
  <si>
    <t>5SNT000007XA06HA</t>
  </si>
  <si>
    <t>5PPG007064XA0N8B</t>
  </si>
  <si>
    <r>
      <t>E4.5關(排風全開)、</t>
    </r>
    <r>
      <rPr>
        <sz val="11"/>
        <color rgb="FF00B0F0"/>
        <rFont val="標楷體"/>
        <family val="4"/>
        <charset val="136"/>
      </rPr>
      <t>E2E3後段40、除漆品</t>
    </r>
    <phoneticPr fontId="2" type="noConversion"/>
  </si>
  <si>
    <t>3/58</t>
    <phoneticPr fontId="2" type="noConversion"/>
  </si>
  <si>
    <r>
      <t>E4.5關(排風全開)、</t>
    </r>
    <r>
      <rPr>
        <sz val="11"/>
        <color rgb="FF00B0F0"/>
        <rFont val="標楷體"/>
        <family val="4"/>
        <charset val="136"/>
      </rPr>
      <t>E2E3後段40、除漆品</t>
    </r>
    <phoneticPr fontId="2" type="noConversion"/>
  </si>
  <si>
    <t>A32973E0T</t>
  </si>
  <si>
    <t>A32974E0T</t>
  </si>
  <si>
    <t>A32973B0T</t>
  </si>
  <si>
    <t>A32974C0T</t>
  </si>
  <si>
    <t>5OEG006116XAHXGA</t>
  </si>
  <si>
    <t>5OEG006117XAHXGA</t>
  </si>
  <si>
    <t>5OEG006116XAHXEB</t>
  </si>
  <si>
    <t>5OEG006117XAHXEB</t>
  </si>
  <si>
    <t>XGA</t>
  </si>
  <si>
    <t>XEB</t>
  </si>
  <si>
    <t>銀灰</t>
    <phoneticPr fontId="2" type="noConversion"/>
  </si>
  <si>
    <t>亮黑</t>
    <phoneticPr fontId="2" type="noConversion"/>
  </si>
  <si>
    <t>工單數</t>
    <phoneticPr fontId="2" type="noConversion"/>
  </si>
  <si>
    <t>不良率</t>
    <phoneticPr fontId="2" type="noConversion"/>
  </si>
  <si>
    <t>日期</t>
    <phoneticPr fontId="2" type="noConversion"/>
  </si>
  <si>
    <t>A3271360T</t>
  </si>
  <si>
    <t>5PPG006940XA0NRR</t>
  </si>
  <si>
    <r>
      <t>E4.5關(排風全開)、</t>
    </r>
    <r>
      <rPr>
        <sz val="11"/>
        <color rgb="FF00B0F0"/>
        <rFont val="標楷體"/>
        <family val="4"/>
        <charset val="136"/>
      </rPr>
      <t>E2E3後段40、除漆品</t>
    </r>
    <phoneticPr fontId="2" type="noConversion"/>
  </si>
  <si>
    <t>A32435G0T</t>
  </si>
  <si>
    <t>5OEG005694XAHBBB</t>
  </si>
  <si>
    <r>
      <t>E4.5關(排風全開)、</t>
    </r>
    <r>
      <rPr>
        <sz val="11"/>
        <color rgb="FF00B0F0"/>
        <rFont val="標楷體"/>
        <family val="4"/>
        <charset val="136"/>
      </rPr>
      <t>E2E3後段40、除漆品</t>
    </r>
    <phoneticPr fontId="2" type="noConversion"/>
  </si>
  <si>
    <r>
      <t>E4.5關(排風全開)、</t>
    </r>
    <r>
      <rPr>
        <sz val="11"/>
        <color rgb="FF00B0F0"/>
        <rFont val="標楷體"/>
        <family val="4"/>
        <charset val="136"/>
      </rPr>
      <t>E2E3後段40、素材表面剝離*4</t>
    </r>
    <phoneticPr fontId="2" type="noConversion"/>
  </si>
  <si>
    <t>2026/1/7底漆前烘烤，無E1輸送帶</t>
    <phoneticPr fontId="2" type="noConversion"/>
  </si>
  <si>
    <t>A3221150T</t>
  </si>
  <si>
    <t>A3271330T</t>
  </si>
  <si>
    <t>5PPG006647XB04PW</t>
  </si>
  <si>
    <t>5PPG006940XA0NGW</t>
  </si>
  <si>
    <t>色差*40</t>
    <phoneticPr fontId="2" type="noConversion"/>
  </si>
  <si>
    <t>A3221650T</t>
  </si>
  <si>
    <t>A3298910T</t>
  </si>
  <si>
    <t>A3271760T</t>
  </si>
  <si>
    <t>A3271860T</t>
  </si>
  <si>
    <t>A32400M1T</t>
  </si>
  <si>
    <t>A3240090T</t>
  </si>
  <si>
    <t>5PPG006832XA0H3R</t>
  </si>
  <si>
    <t>5PPG007062XA0Q9B</t>
  </si>
  <si>
    <t>5PPG006942XA0NRR</t>
  </si>
  <si>
    <t>5PPG006943XA0NRR</t>
  </si>
  <si>
    <t>5OEG005858XCHMHA</t>
  </si>
  <si>
    <t>5OEG005858XCHHSS</t>
  </si>
  <si>
    <t>薄噴*30</t>
    <phoneticPr fontId="2" type="noConversion"/>
  </si>
  <si>
    <t>A32144H0T</t>
  </si>
  <si>
    <t>A30007A0T</t>
  </si>
  <si>
    <t>A30007U0T</t>
  </si>
  <si>
    <t>5OET005444XAHWKL</t>
  </si>
  <si>
    <t>5SNT000007XA031B</t>
  </si>
  <si>
    <t>5SNT000007XA072A</t>
  </si>
  <si>
    <t>A3214450T</t>
  </si>
  <si>
    <t>A32400V0T</t>
  </si>
  <si>
    <t>5OET005444XAH4PW</t>
  </si>
  <si>
    <t>5OEG005858XCHHPP</t>
  </si>
  <si>
    <t>0度頭蓋</t>
  </si>
  <si>
    <t>L</t>
  </si>
  <si>
    <t>R</t>
  </si>
  <si>
    <t>23度頭蓋</t>
  </si>
  <si>
    <t>26度頭蓋</t>
  </si>
  <si>
    <t>A30015J0T</t>
  </si>
  <si>
    <t>A3299010T</t>
  </si>
  <si>
    <t>A3266380T</t>
  </si>
  <si>
    <t>A3000741T</t>
  </si>
  <si>
    <t>A3258020T</t>
  </si>
  <si>
    <t>5SNT000015XA042W</t>
  </si>
  <si>
    <t>5PPG007063XA0Q9B</t>
  </si>
  <si>
    <t>5PPG006947XA0RRA</t>
  </si>
  <si>
    <t>5SNT000007XA09DB</t>
  </si>
  <si>
    <t>5SNT000053XA02US</t>
  </si>
  <si>
    <t>除漆品</t>
    <phoneticPr fontId="2" type="noConversion"/>
  </si>
  <si>
    <t>T20</t>
    <phoneticPr fontId="2" type="noConversion"/>
  </si>
  <si>
    <t>A3266370T</t>
  </si>
  <si>
    <t>5PPG006947XA0RCA</t>
  </si>
  <si>
    <t>A3243430T</t>
  </si>
  <si>
    <t>5PPG006892XA084B</t>
  </si>
  <si>
    <t>噴飛*2</t>
    <phoneticPr fontId="2" type="noConversion"/>
  </si>
  <si>
    <t>12;35</t>
    <phoneticPr fontId="2" type="noConversion"/>
  </si>
  <si>
    <t>A30011T0T</t>
  </si>
  <si>
    <t>A32592K0T</t>
  </si>
  <si>
    <t>A32592L0T</t>
  </si>
  <si>
    <t>5SNT000011XA042W</t>
  </si>
  <si>
    <t>5OEG005976XAHVGA</t>
  </si>
  <si>
    <t>5OEG005976XAH9DB</t>
  </si>
  <si>
    <t>去漆品</t>
    <phoneticPr fontId="2" type="noConversion"/>
  </si>
  <si>
    <t>5OE</t>
    <phoneticPr fontId="2" type="noConversion"/>
  </si>
  <si>
    <t>5PP</t>
    <phoneticPr fontId="2" type="noConversion"/>
  </si>
  <si>
    <t>5SN</t>
    <phoneticPr fontId="2" type="noConversion"/>
  </si>
  <si>
    <t>T20</t>
    <phoneticPr fontId="2" type="noConversion"/>
  </si>
  <si>
    <t>A3266480T</t>
  </si>
  <si>
    <t>5PPG006948XA0RRA</t>
  </si>
  <si>
    <t>除漆品</t>
    <phoneticPr fontId="2" type="noConversion"/>
  </si>
  <si>
    <t>噴飛*1</t>
    <phoneticPr fontId="2" type="noConversion"/>
  </si>
  <si>
    <t>A32992A0T</t>
  </si>
  <si>
    <t>A32592W0T</t>
  </si>
  <si>
    <t>A3240033T</t>
  </si>
  <si>
    <t>5PPG007065XA0N8B</t>
  </si>
  <si>
    <t>5OEG005976XAHXMR</t>
  </si>
  <si>
    <t>5OEG005858XCHVGA</t>
  </si>
  <si>
    <t>A3004170T</t>
  </si>
  <si>
    <t>A30041P0T</t>
  </si>
  <si>
    <t>5SNT000041XB0DAA</t>
  </si>
  <si>
    <t>5SNT000041XB0BBB</t>
  </si>
  <si>
    <t>除漆品</t>
    <phoneticPr fontId="2" type="noConversion"/>
  </si>
  <si>
    <t>毛邊*26</t>
    <phoneticPr fontId="2" type="noConversion"/>
  </si>
  <si>
    <t>素材表面剝離*3</t>
    <phoneticPr fontId="2" type="noConversion"/>
  </si>
  <si>
    <t>除漆品</t>
    <phoneticPr fontId="2" type="noConversion"/>
  </si>
  <si>
    <t>A3271560T</t>
  </si>
  <si>
    <t>A30043K0T</t>
  </si>
  <si>
    <t>A3004130T</t>
  </si>
  <si>
    <t>5PPG006944XA0NRR</t>
  </si>
  <si>
    <t>5SNT000042XB0DES</t>
  </si>
  <si>
    <t>5SNT000041XB0D3B</t>
  </si>
  <si>
    <t>A3297680T</t>
  </si>
  <si>
    <t>A3240012T</t>
  </si>
  <si>
    <t>5PPG007037XA0NRR</t>
  </si>
  <si>
    <t>5OEG005858XCHJJB</t>
  </si>
  <si>
    <t>刮傷*2,素材表面剝離*2</t>
    <phoneticPr fontId="2" type="noConversion"/>
  </si>
  <si>
    <t>A32400C0T</t>
  </si>
  <si>
    <t>A32400G0T</t>
  </si>
  <si>
    <t>5OEG005858XCHHUR</t>
  </si>
  <si>
    <t>5OEG005858XCHJDL</t>
  </si>
  <si>
    <t>A3228631T</t>
  </si>
  <si>
    <t>A32286X0T</t>
  </si>
  <si>
    <t>A32400T0T</t>
  </si>
  <si>
    <t>A3259290T</t>
  </si>
  <si>
    <t>5OET005693XCHQ6S</t>
  </si>
  <si>
    <t>5OET005693XCHPNN</t>
  </si>
  <si>
    <t>5OEG005858XCHJGN</t>
  </si>
  <si>
    <t>5OEG005976XAHRLR</t>
  </si>
  <si>
    <t>除漆品</t>
    <phoneticPr fontId="2" type="noConversion"/>
  </si>
  <si>
    <t>龜裂*13</t>
    <phoneticPr fontId="2" type="noConversion"/>
  </si>
  <si>
    <t>A32211H0T</t>
  </si>
  <si>
    <t>5PPG006647XB0WKL</t>
  </si>
  <si>
    <t>毛邊*40</t>
    <phoneticPr fontId="2" type="noConversion"/>
  </si>
  <si>
    <t>A3297580T</t>
  </si>
  <si>
    <t>A3281080T</t>
  </si>
  <si>
    <t>A32400W2T</t>
  </si>
  <si>
    <t>A3280980T</t>
  </si>
  <si>
    <t>A3280810T</t>
  </si>
  <si>
    <t>5PPG007036XA0NRR</t>
  </si>
  <si>
    <t>5PPG007022XA0Q9B</t>
  </si>
  <si>
    <t>5OEG005858XCH9DB</t>
  </si>
  <si>
    <t>5PPG007014XA0Q9B</t>
  </si>
  <si>
    <t>5PPG007009XA0Q9B</t>
  </si>
  <si>
    <t>除漆品</t>
    <phoneticPr fontId="2" type="noConversion"/>
  </si>
  <si>
    <t>A3280710T</t>
  </si>
  <si>
    <t>5PPG007008XA0Q9B</t>
  </si>
  <si>
    <t>A3225001T</t>
  </si>
  <si>
    <t>5OET005831XAH18A</t>
  </si>
  <si>
    <t>A32251C0T</t>
  </si>
  <si>
    <t>A3243410T</t>
  </si>
  <si>
    <t>A32974B0T</t>
  </si>
  <si>
    <t>A32973F0T</t>
  </si>
  <si>
    <t>A32974F0T</t>
  </si>
  <si>
    <t>A32973A0T</t>
  </si>
  <si>
    <t>A3299240T</t>
  </si>
  <si>
    <t>5PPG006742XCWMS</t>
  </si>
  <si>
    <t>5PPG006892XA076S</t>
  </si>
  <si>
    <t>5OEG006117XAHXDL</t>
  </si>
  <si>
    <t>5OEG006116XAHXPG</t>
  </si>
  <si>
    <t>5OEG006117XAHXPG</t>
  </si>
  <si>
    <t>5OEG006116XAHXDL</t>
  </si>
  <si>
    <t>5PPG007065XA0NGW</t>
  </si>
  <si>
    <t>XDL</t>
    <phoneticPr fontId="2" type="noConversion"/>
  </si>
  <si>
    <t>XPG</t>
    <phoneticPr fontId="2" type="noConversion"/>
  </si>
  <si>
    <t>藍</t>
    <phoneticPr fontId="2" type="noConversion"/>
  </si>
  <si>
    <t>綠</t>
    <phoneticPr fontId="2" type="noConversion"/>
  </si>
  <si>
    <r>
      <t>E4.5關(排風全開)、</t>
    </r>
    <r>
      <rPr>
        <sz val="11"/>
        <color rgb="FF00B0F0"/>
        <rFont val="標楷體"/>
        <family val="4"/>
        <charset val="136"/>
      </rPr>
      <t>E2E3後段40</t>
    </r>
    <r>
      <rPr>
        <sz val="12"/>
        <color theme="1"/>
        <rFont val="新細明體"/>
        <family val="2"/>
        <charset val="136"/>
        <scheme val="minor"/>
      </rPr>
      <t/>
    </r>
    <phoneticPr fontId="2" type="noConversion"/>
  </si>
  <si>
    <t>T20、適正化*9</t>
    <phoneticPr fontId="2" type="noConversion"/>
  </si>
  <si>
    <t>T20、適正化*67</t>
    <phoneticPr fontId="2" type="noConversion"/>
  </si>
  <si>
    <r>
      <t>E4.5關(排風全開)、</t>
    </r>
    <r>
      <rPr>
        <sz val="11"/>
        <color rgb="FF00B0F0"/>
        <rFont val="標楷體"/>
        <family val="4"/>
        <charset val="136"/>
      </rPr>
      <t>E2E3後段40</t>
    </r>
    <r>
      <rPr>
        <sz val="12"/>
        <color theme="1"/>
        <rFont val="新細明體"/>
        <family val="2"/>
        <charset val="136"/>
        <scheme val="minor"/>
      </rPr>
      <t/>
    </r>
    <phoneticPr fontId="2" type="noConversion"/>
  </si>
  <si>
    <t>T20、適正化*34</t>
    <phoneticPr fontId="2" type="noConversion"/>
  </si>
  <si>
    <t>T20、適正化*16</t>
    <phoneticPr fontId="2" type="noConversion"/>
  </si>
  <si>
    <t>T20、適正化*20</t>
    <phoneticPr fontId="2" type="noConversion"/>
  </si>
  <si>
    <t>5PPG007063XA0Q9B</t>
    <phoneticPr fontId="2" type="noConversion"/>
  </si>
  <si>
    <t>14;07</t>
    <phoneticPr fontId="2" type="noConversion"/>
  </si>
  <si>
    <t>來料不良*46</t>
    <phoneticPr fontId="2" type="noConversion"/>
  </si>
  <si>
    <t>A3259280T</t>
  </si>
  <si>
    <t>5OEG005976XAHRMG</t>
  </si>
  <si>
    <t>T20、適正化*30、薄噴*50</t>
    <phoneticPr fontId="2" type="noConversion"/>
  </si>
  <si>
    <t>T20、適正化*4</t>
    <phoneticPr fontId="2" type="noConversion"/>
  </si>
  <si>
    <t>薄噴*15</t>
    <phoneticPr fontId="2" type="noConversion"/>
  </si>
  <si>
    <t>除漆品</t>
    <phoneticPr fontId="2" type="noConversion"/>
  </si>
  <si>
    <t>T20、適正化*30</t>
    <phoneticPr fontId="2" type="noConversion"/>
  </si>
  <si>
    <t>毛邊*7</t>
    <phoneticPr fontId="2" type="noConversion"/>
  </si>
  <si>
    <t>A3225060T</t>
  </si>
  <si>
    <t>5OET005831XAHHHY</t>
  </si>
  <si>
    <t>T20、適正化*46</t>
    <phoneticPr fontId="2" type="noConversion"/>
  </si>
  <si>
    <t>A3240680T</t>
  </si>
  <si>
    <t>A3240630T</t>
  </si>
  <si>
    <t>A3243420T</t>
  </si>
  <si>
    <t>A3297780T</t>
  </si>
  <si>
    <t>A3000707T</t>
  </si>
  <si>
    <t>5PPG006895XA0HPP</t>
  </si>
  <si>
    <t>5PPG006895XA0HJA</t>
  </si>
  <si>
    <t>5PPG006892XA078A</t>
  </si>
  <si>
    <t>5PPG007034XA0NRR</t>
  </si>
  <si>
    <t>5SNT000007XA042W</t>
  </si>
  <si>
    <t>A32400K0T</t>
  </si>
  <si>
    <t>A3268690T</t>
  </si>
  <si>
    <t>5OEG005858XCHHXR</t>
  </si>
  <si>
    <t>5PPG006971XA0RLR</t>
  </si>
  <si>
    <t>A3000701T</t>
  </si>
  <si>
    <t>A32800B0T</t>
  </si>
  <si>
    <t>A32400T2T</t>
  </si>
  <si>
    <t>5SNT000007XA083L</t>
  </si>
  <si>
    <t>5PPG007028XA0N8B</t>
  </si>
  <si>
    <t>5OEG005858XCHUML</t>
  </si>
  <si>
    <t>UML</t>
    <phoneticPr fontId="2" type="noConversion"/>
  </si>
  <si>
    <t>藍</t>
    <phoneticPr fontId="2" type="noConversion"/>
  </si>
  <si>
    <t>除漆品</t>
    <phoneticPr fontId="2" type="noConversion"/>
  </si>
  <si>
    <t>T20、適正化*39</t>
    <phoneticPr fontId="2" type="noConversion"/>
  </si>
  <si>
    <t>A30043N0T</t>
  </si>
  <si>
    <t>5SNT000042XB0MZY</t>
  </si>
  <si>
    <t>除漆品</t>
    <phoneticPr fontId="2" type="noConversion"/>
  </si>
  <si>
    <t>T20、適正化*36</t>
    <phoneticPr fontId="2" type="noConversion"/>
  </si>
  <si>
    <t>除漆品</t>
    <phoneticPr fontId="2" type="noConversion"/>
  </si>
  <si>
    <t>A3299210T</t>
  </si>
  <si>
    <t>5PPG007065XA0R6L</t>
  </si>
  <si>
    <t>除漆品</t>
    <phoneticPr fontId="2" type="noConversion"/>
  </si>
  <si>
    <t>T20、適正化*37</t>
    <phoneticPr fontId="2" type="noConversion"/>
  </si>
  <si>
    <t>A3240660T</t>
  </si>
  <si>
    <t>A3240670T</t>
  </si>
  <si>
    <t>A3240640T</t>
  </si>
  <si>
    <t>A32400H0T</t>
  </si>
  <si>
    <t>A3225210T</t>
  </si>
  <si>
    <t>A3224410T</t>
  </si>
  <si>
    <t>5PPG006895XA0J7G</t>
  </si>
  <si>
    <t>5PPG006895XA0J6L</t>
  </si>
  <si>
    <t>5PPG006895XA0JCB</t>
  </si>
  <si>
    <t>5OEG005858XCHJ6L</t>
  </si>
  <si>
    <t>5PPG105685XA0JCB</t>
  </si>
  <si>
    <t>5PPG105684XA0JCB</t>
  </si>
  <si>
    <t>T20、適正化*13</t>
    <phoneticPr fontId="2" type="noConversion"/>
  </si>
  <si>
    <t>T20、適正化*47</t>
    <phoneticPr fontId="2" type="noConversion"/>
  </si>
  <si>
    <t>T20、適正化*28</t>
    <phoneticPr fontId="2" type="noConversion"/>
  </si>
  <si>
    <t>除漆品</t>
    <phoneticPr fontId="2" type="noConversion"/>
  </si>
  <si>
    <t>來料不良*14</t>
    <phoneticPr fontId="2" type="noConversion"/>
  </si>
  <si>
    <t>T20、適正化*35、擦拭驗證批</t>
    <phoneticPr fontId="2" type="noConversion"/>
  </si>
  <si>
    <t>A32400K1T</t>
  </si>
  <si>
    <t>5OEG005858XCHKFL</t>
  </si>
  <si>
    <t>除漆品</t>
    <phoneticPr fontId="2" type="noConversion"/>
  </si>
  <si>
    <t>T20、適正化*55</t>
    <phoneticPr fontId="2" type="noConversion"/>
  </si>
  <si>
    <t>A32400D1T</t>
  </si>
  <si>
    <t>5OEG005858XCHLBA</t>
  </si>
  <si>
    <t>T20、適正化*59</t>
    <phoneticPr fontId="2" type="noConversion"/>
  </si>
  <si>
    <t>T20、適正化*6</t>
    <phoneticPr fontId="2" type="noConversion"/>
  </si>
  <si>
    <t>除漆品</t>
    <phoneticPr fontId="2" type="noConversion"/>
  </si>
  <si>
    <t>除漆痕*25</t>
    <phoneticPr fontId="2" type="noConversion"/>
  </si>
  <si>
    <t>5PPG007008XA0Q9B</t>
    <phoneticPr fontId="2" type="noConversion"/>
  </si>
  <si>
    <t>A3240650T</t>
  </si>
  <si>
    <t>5PPG006895XA0HUR</t>
  </si>
  <si>
    <t>噴飛*3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</si>
</sst>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-* #,##0.00_-;\-* #,##0.00_-;_-* &quot;-&quot;??_-;_-@_-"/>
    <numFmt numFmtId="176" formatCode="m&quot;月&quot;d&quot;日&quot;;@"/>
    <numFmt numFmtId="177" formatCode="[$-1010804]General"/>
    <numFmt numFmtId="178" formatCode="0.0%"/>
    <numFmt numFmtId="179" formatCode="h:mm;@"/>
    <numFmt numFmtId="180" formatCode="m/d;@"/>
    <numFmt numFmtId="181" formatCode="0.00_);[Red]\(0.00\)"/>
    <numFmt numFmtId="182" formatCode="#,##0_);[Red]\(#,##0\)"/>
  </numFmts>
  <fonts count="20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1"/>
      <color rgb="FFFF0000"/>
      <name val="新細明體"/>
      <family val="2"/>
      <scheme val="minor"/>
    </font>
    <font>
      <sz val="11"/>
      <color theme="1"/>
      <name val="標楷體"/>
      <family val="4"/>
      <charset val="136"/>
    </font>
    <font>
      <sz val="11"/>
      <color rgb="FFFF0000"/>
      <name val="標楷體"/>
      <family val="4"/>
      <charset val="136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1"/>
      <color theme="1"/>
      <name val="新細明體"/>
      <family val="1"/>
      <charset val="136"/>
    </font>
    <font>
      <sz val="11"/>
      <color rgb="FF00B0F0"/>
      <name val="標楷體"/>
      <family val="4"/>
      <charset val="136"/>
    </font>
    <font>
      <sz val="11"/>
      <color theme="1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宋体"/>
      <family val="3"/>
      <charset val="136"/>
    </font>
    <font>
      <sz val="10"/>
      <name val="Arial"/>
      <family val="2"/>
    </font>
    <font>
      <b/>
      <sz val="11"/>
      <color indexed="81"/>
      <name val="細明體"/>
      <family val="3"/>
      <charset val="136"/>
    </font>
    <font>
      <sz val="11"/>
      <color theme="1"/>
      <name val="新細明體"/>
      <family val="1"/>
      <charset val="136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177" fontId="0" fillId="0" borderId="0"/>
    <xf numFmtId="177" fontId="3" fillId="0" borderId="0"/>
    <xf numFmtId="177" fontId="3" fillId="0" borderId="0">
      <alignment vertical="center"/>
    </xf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13" fillId="0" borderId="0">
      <alignment vertical="center"/>
    </xf>
    <xf numFmtId="178" fontId="14" fillId="0" borderId="0"/>
    <xf numFmtId="177" fontId="13" fillId="0" borderId="0">
      <alignment vertical="center"/>
    </xf>
    <xf numFmtId="177" fontId="3" fillId="0" borderId="0"/>
    <xf numFmtId="177" fontId="15" fillId="0" borderId="0"/>
    <xf numFmtId="177" fontId="3" fillId="0" borderId="0"/>
    <xf numFmtId="177" fontId="3" fillId="0" borderId="0"/>
    <xf numFmtId="177" fontId="3" fillId="0" borderId="0"/>
  </cellStyleXfs>
  <cellXfs count="92">
    <xf numFmtId="177" fontId="0" fillId="0" borderId="0" xfId="0"/>
    <xf numFmtId="177" fontId="0" fillId="0" borderId="0" xfId="0" applyAlignment="1">
      <alignment horizontal="center"/>
    </xf>
    <xf numFmtId="177" fontId="0" fillId="0" borderId="0" xfId="0" applyAlignment="1">
      <alignment horizontal="center" vertical="center"/>
    </xf>
    <xf numFmtId="177" fontId="4" fillId="0" borderId="0" xfId="0" applyNumberFormat="1" applyFont="1" applyFill="1" applyAlignment="1">
      <alignment horizontal="center" vertical="center"/>
    </xf>
    <xf numFmtId="177" fontId="6" fillId="0" borderId="0" xfId="0" applyNumberFormat="1" applyFont="1" applyFill="1" applyAlignment="1">
      <alignment horizontal="center" vertical="center"/>
    </xf>
    <xf numFmtId="177" fontId="6" fillId="0" borderId="0" xfId="0" applyFont="1" applyFill="1" applyAlignment="1">
      <alignment horizontal="center"/>
    </xf>
    <xf numFmtId="177" fontId="5" fillId="0" borderId="0" xfId="0" applyFont="1"/>
    <xf numFmtId="176" fontId="5" fillId="0" borderId="0" xfId="0" applyNumberFormat="1" applyFont="1" applyFill="1" applyAlignment="1">
      <alignment horizontal="center" vertical="top"/>
    </xf>
    <xf numFmtId="177" fontId="5" fillId="0" borderId="0" xfId="0" applyNumberFormat="1" applyFont="1" applyFill="1" applyAlignment="1">
      <alignment horizontal="center" vertical="top"/>
    </xf>
    <xf numFmtId="177" fontId="5" fillId="0" borderId="0" xfId="0" applyFont="1" applyFill="1" applyAlignment="1">
      <alignment horizontal="center" vertical="top"/>
    </xf>
    <xf numFmtId="177" fontId="5" fillId="0" borderId="0" xfId="0" applyFont="1" applyAlignment="1">
      <alignment vertical="top"/>
    </xf>
    <xf numFmtId="176" fontId="5" fillId="0" borderId="0" xfId="0" applyNumberFormat="1" applyFont="1" applyFill="1" applyAlignment="1">
      <alignment horizontal="center" vertical="center"/>
    </xf>
    <xf numFmtId="177" fontId="5" fillId="0" borderId="0" xfId="0" applyFont="1" applyAlignment="1">
      <alignment horizontal="center" vertical="center"/>
    </xf>
    <xf numFmtId="177" fontId="5" fillId="0" borderId="0" xfId="0" applyNumberFormat="1" applyFont="1" applyFill="1" applyAlignment="1">
      <alignment horizontal="center" vertical="center"/>
    </xf>
    <xf numFmtId="177" fontId="5" fillId="0" borderId="0" xfId="0" applyFont="1" applyAlignment="1">
      <alignment horizontal="left"/>
    </xf>
    <xf numFmtId="177" fontId="5" fillId="0" borderId="0" xfId="0" applyFont="1" applyAlignment="1">
      <alignment horizontal="center"/>
    </xf>
    <xf numFmtId="177" fontId="5" fillId="0" borderId="0" xfId="0" applyFont="1" applyAlignment="1">
      <alignment horizontal="center" vertical="top"/>
    </xf>
    <xf numFmtId="177" fontId="5" fillId="0" borderId="0" xfId="0" applyFont="1" applyFill="1" applyAlignment="1">
      <alignment horizontal="center"/>
    </xf>
    <xf numFmtId="177" fontId="5" fillId="0" borderId="0" xfId="0" applyFont="1" applyAlignment="1">
      <alignment horizontal="center"/>
    </xf>
    <xf numFmtId="176" fontId="5" fillId="0" borderId="0" xfId="0" applyNumberFormat="1" applyFont="1" applyFill="1" applyAlignment="1">
      <alignment horizontal="center" vertical="center"/>
    </xf>
    <xf numFmtId="178" fontId="5" fillId="0" borderId="0" xfId="0" applyNumberFormat="1" applyFont="1" applyAlignment="1">
      <alignment horizontal="center"/>
    </xf>
    <xf numFmtId="178" fontId="5" fillId="0" borderId="0" xfId="0" applyNumberFormat="1" applyFont="1" applyAlignment="1">
      <alignment horizontal="center" vertical="top"/>
    </xf>
    <xf numFmtId="177" fontId="4" fillId="0" borderId="0" xfId="0" applyFont="1" applyFill="1" applyAlignment="1">
      <alignment horizontal="center"/>
    </xf>
    <xf numFmtId="177" fontId="5" fillId="0" borderId="0" xfId="0" applyFont="1" applyFill="1" applyAlignment="1">
      <alignment horizontal="center" vertical="center"/>
    </xf>
    <xf numFmtId="176" fontId="5" fillId="0" borderId="0" xfId="0" applyNumberFormat="1" applyFont="1" applyFill="1" applyAlignment="1">
      <alignment horizontal="left" vertical="center"/>
    </xf>
    <xf numFmtId="176" fontId="5" fillId="0" borderId="0" xfId="0" applyNumberFormat="1" applyFont="1" applyAlignment="1">
      <alignment horizontal="center"/>
    </xf>
    <xf numFmtId="177" fontId="5" fillId="0" borderId="0" xfId="0" applyFont="1" applyAlignment="1">
      <alignment horizontal="center"/>
    </xf>
    <xf numFmtId="177" fontId="0" fillId="0" borderId="0" xfId="0" applyAlignment="1">
      <alignment horizontal="center"/>
    </xf>
    <xf numFmtId="176" fontId="5" fillId="0" borderId="0" xfId="0" applyNumberFormat="1" applyFont="1" applyAlignment="1">
      <alignment horizontal="center" vertical="top"/>
    </xf>
    <xf numFmtId="179" fontId="5" fillId="0" borderId="0" xfId="0" applyNumberFormat="1" applyFont="1" applyAlignment="1">
      <alignment horizontal="center"/>
    </xf>
    <xf numFmtId="179" fontId="5" fillId="0" borderId="0" xfId="0" applyNumberFormat="1" applyFont="1" applyAlignment="1">
      <alignment horizontal="center" vertical="top" wrapText="1"/>
    </xf>
    <xf numFmtId="177" fontId="0" fillId="0" borderId="0" xfId="0" applyAlignment="1">
      <alignment horizontal="center"/>
    </xf>
    <xf numFmtId="178" fontId="5" fillId="0" borderId="0" xfId="0" applyNumberFormat="1" applyFont="1" applyAlignment="1">
      <alignment horizontal="left" vertical="center"/>
    </xf>
    <xf numFmtId="177" fontId="5" fillId="0" borderId="0" xfId="0" applyFont="1" applyAlignment="1">
      <alignment horizontal="left" vertical="top" wrapText="1"/>
    </xf>
    <xf numFmtId="178" fontId="5" fillId="0" borderId="0" xfId="0" applyNumberFormat="1" applyFont="1" applyAlignment="1">
      <alignment horizontal="center" vertical="top" wrapText="1"/>
    </xf>
    <xf numFmtId="177" fontId="5" fillId="0" borderId="0" xfId="0" applyFont="1" applyAlignment="1">
      <alignment horizontal="center" vertical="top" wrapText="1"/>
    </xf>
    <xf numFmtId="177" fontId="5" fillId="0" borderId="0" xfId="0" applyFont="1" applyAlignment="1">
      <alignment horizontal="left" vertical="center"/>
    </xf>
    <xf numFmtId="177" fontId="0" fillId="0" borderId="0" xfId="0" applyAlignment="1">
      <alignment horizontal="center"/>
    </xf>
    <xf numFmtId="176" fontId="5" fillId="0" borderId="0" xfId="0" applyNumberFormat="1" applyFont="1" applyAlignment="1">
      <alignment horizontal="left"/>
    </xf>
    <xf numFmtId="177" fontId="11" fillId="0" borderId="0" xfId="0" applyFont="1" applyAlignment="1">
      <alignment horizontal="center"/>
    </xf>
    <xf numFmtId="177" fontId="11" fillId="0" borderId="0" xfId="0" applyFont="1" applyAlignment="1">
      <alignment horizontal="center" vertical="center"/>
    </xf>
    <xf numFmtId="176" fontId="11" fillId="0" borderId="0" xfId="0" applyNumberFormat="1" applyFont="1" applyFill="1" applyAlignment="1">
      <alignment horizontal="center" vertical="center"/>
    </xf>
    <xf numFmtId="177" fontId="0" fillId="0" borderId="0" xfId="0" applyAlignment="1">
      <alignment horizontal="center"/>
    </xf>
    <xf numFmtId="177" fontId="12" fillId="0" borderId="0" xfId="0" applyFont="1" applyAlignment="1">
      <alignment horizontal="center"/>
    </xf>
    <xf numFmtId="177" fontId="0" fillId="0" borderId="0" xfId="0" applyAlignment="1">
      <alignment horizontal="center"/>
    </xf>
    <xf numFmtId="177" fontId="0" fillId="0" borderId="0" xfId="0" applyAlignment="1">
      <alignment horizontal="center"/>
    </xf>
    <xf numFmtId="177" fontId="0" fillId="0" borderId="0" xfId="0" applyAlignment="1">
      <alignment horizontal="center"/>
    </xf>
    <xf numFmtId="177" fontId="0" fillId="0" borderId="0" xfId="0" applyAlignment="1">
      <alignment horizontal="center"/>
    </xf>
    <xf numFmtId="177" fontId="5" fillId="0" borderId="0" xfId="0" applyFont="1" applyAlignment="1">
      <alignment horizontal="center"/>
    </xf>
    <xf numFmtId="177" fontId="0" fillId="0" borderId="0" xfId="0" applyAlignment="1">
      <alignment horizontal="center"/>
    </xf>
    <xf numFmtId="176" fontId="9" fillId="0" borderId="0" xfId="0" applyNumberFormat="1" applyFont="1" applyFill="1" applyAlignment="1">
      <alignment horizontal="center" vertical="center"/>
    </xf>
    <xf numFmtId="177" fontId="0" fillId="0" borderId="0" xfId="0" applyAlignment="1">
      <alignment horizontal="center"/>
    </xf>
    <xf numFmtId="177" fontId="5" fillId="0" borderId="0" xfId="0" applyFont="1" applyAlignment="1">
      <alignment horizontal="center"/>
    </xf>
    <xf numFmtId="177" fontId="0" fillId="0" borderId="0" xfId="0" applyAlignment="1">
      <alignment horizontal="center"/>
    </xf>
    <xf numFmtId="176" fontId="17" fillId="0" borderId="0" xfId="0" applyNumberFormat="1" applyFont="1" applyFill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81" fontId="0" fillId="0" borderId="1" xfId="0" applyNumberFormat="1" applyBorder="1" applyAlignment="1">
      <alignment horizontal="center" vertical="center"/>
    </xf>
    <xf numFmtId="177" fontId="5" fillId="0" borderId="0" xfId="0" applyFont="1" applyAlignment="1">
      <alignment horizontal="center"/>
    </xf>
    <xf numFmtId="178" fontId="10" fillId="0" borderId="0" xfId="0" applyNumberFormat="1" applyFont="1" applyAlignment="1">
      <alignment horizontal="left" vertical="center"/>
    </xf>
    <xf numFmtId="182" fontId="0" fillId="0" borderId="1" xfId="0" applyNumberFormat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81" fontId="0" fillId="0" borderId="0" xfId="0" applyNumberFormat="1"/>
    <xf numFmtId="181" fontId="0" fillId="0" borderId="0" xfId="0" applyNumberFormat="1" applyAlignment="1">
      <alignment horizontal="center"/>
    </xf>
    <xf numFmtId="180" fontId="0" fillId="4" borderId="1" xfId="0" applyNumberFormat="1" applyFill="1" applyBorder="1" applyAlignment="1">
      <alignment horizontal="center" vertical="center"/>
    </xf>
    <xf numFmtId="177" fontId="0" fillId="4" borderId="1" xfId="0" applyFill="1" applyBorder="1" applyAlignment="1">
      <alignment horizontal="center" vertical="center"/>
    </xf>
    <xf numFmtId="181" fontId="0" fillId="4" borderId="1" xfId="0" applyNumberFormat="1" applyFill="1" applyBorder="1" applyAlignment="1">
      <alignment horizontal="center" vertical="center"/>
    </xf>
    <xf numFmtId="181" fontId="0" fillId="4" borderId="0" xfId="0" applyNumberFormat="1" applyFill="1" applyAlignment="1">
      <alignment horizontal="center"/>
    </xf>
    <xf numFmtId="178" fontId="0" fillId="0" borderId="0" xfId="0" applyNumberFormat="1" applyAlignment="1">
      <alignment horizontal="center"/>
    </xf>
    <xf numFmtId="181" fontId="0" fillId="0" borderId="1" xfId="0" applyNumberFormat="1" applyFill="1" applyBorder="1" applyAlignment="1">
      <alignment horizontal="center" vertical="center"/>
    </xf>
    <xf numFmtId="182" fontId="0" fillId="0" borderId="1" xfId="0" applyNumberFormat="1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181" fontId="0" fillId="0" borderId="1" xfId="0" applyNumberFormat="1" applyFill="1" applyBorder="1" applyAlignment="1">
      <alignment horizontal="center"/>
    </xf>
    <xf numFmtId="178" fontId="0" fillId="0" borderId="1" xfId="0" applyNumberFormat="1" applyBorder="1" applyAlignment="1">
      <alignment horizontal="center"/>
    </xf>
    <xf numFmtId="176" fontId="0" fillId="6" borderId="1" xfId="0" applyNumberFormat="1" applyFill="1" applyBorder="1" applyAlignment="1">
      <alignment horizontal="center" vertical="center"/>
    </xf>
    <xf numFmtId="182" fontId="0" fillId="6" borderId="1" xfId="0" applyNumberFormat="1" applyFill="1" applyBorder="1" applyAlignment="1">
      <alignment horizontal="center" vertical="center"/>
    </xf>
    <xf numFmtId="181" fontId="0" fillId="6" borderId="1" xfId="0" applyNumberFormat="1" applyFill="1" applyBorder="1" applyAlignment="1">
      <alignment horizontal="center" vertical="center"/>
    </xf>
    <xf numFmtId="181" fontId="0" fillId="6" borderId="1" xfId="0" applyNumberFormat="1" applyFill="1" applyBorder="1" applyAlignment="1">
      <alignment horizontal="center"/>
    </xf>
    <xf numFmtId="178" fontId="0" fillId="6" borderId="1" xfId="0" applyNumberFormat="1" applyFill="1" applyBorder="1" applyAlignment="1">
      <alignment horizontal="center"/>
    </xf>
    <xf numFmtId="176" fontId="0" fillId="5" borderId="5" xfId="0" applyNumberFormat="1" applyFill="1" applyBorder="1" applyAlignment="1">
      <alignment horizontal="center" vertical="center"/>
    </xf>
    <xf numFmtId="182" fontId="0" fillId="0" borderId="5" xfId="0" applyNumberFormat="1" applyFill="1" applyBorder="1" applyAlignment="1">
      <alignment horizontal="center" vertical="center"/>
    </xf>
    <xf numFmtId="181" fontId="0" fillId="0" borderId="5" xfId="0" applyNumberFormat="1" applyFill="1" applyBorder="1" applyAlignment="1">
      <alignment horizontal="center" vertical="center"/>
    </xf>
    <xf numFmtId="176" fontId="0" fillId="5" borderId="6" xfId="0" applyNumberFormat="1" applyFill="1" applyBorder="1" applyAlignment="1">
      <alignment horizontal="center" vertical="center"/>
    </xf>
    <xf numFmtId="182" fontId="0" fillId="0" borderId="6" xfId="0" applyNumberFormat="1" applyFill="1" applyBorder="1" applyAlignment="1">
      <alignment horizontal="center" vertical="center"/>
    </xf>
    <xf numFmtId="181" fontId="0" fillId="0" borderId="6" xfId="0" applyNumberFormat="1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/>
    </xf>
    <xf numFmtId="176" fontId="0" fillId="0" borderId="1" xfId="0" applyNumberFormat="1" applyFill="1" applyBorder="1" applyAlignment="1">
      <alignment horizontal="center" vertical="center"/>
    </xf>
    <xf numFmtId="176" fontId="0" fillId="7" borderId="1" xfId="0" applyNumberFormat="1" applyFill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</cellXfs>
  <cellStyles count="13">
    <cellStyle name="一般" xfId="0" builtinId="0"/>
    <cellStyle name="一般 2" xfId="1"/>
    <cellStyle name="一般 2 2" xfId="5"/>
    <cellStyle name="一般 2 2 2" xfId="11"/>
    <cellStyle name="一般 2 2 2 2" xfId="12"/>
    <cellStyle name="一般 2 4" xfId="2"/>
    <cellStyle name="一般 2 4 2" xfId="9"/>
    <cellStyle name="一般 3" xfId="7"/>
    <cellStyle name="一般 4" xfId="8"/>
    <cellStyle name="一般 4 2" xfId="10"/>
    <cellStyle name="千分位 2" xfId="4"/>
    <cellStyle name="百分比 2" xfId="3"/>
    <cellStyle name="常规 8 5" xfId="6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6446;&#28113;&#33805;&#36039;&#26009;\Desktop\&#26032;&#22615;&#35037;&#31649;&#21046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26032;&#22615;&#35037;&#31649;&#21046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-13"/>
      <sheetName val="4-13-愛信"/>
      <sheetName val="4-16"/>
      <sheetName val="4-16-愛信"/>
      <sheetName val="空白 "/>
      <sheetName val="4-27"/>
      <sheetName val="5-11"/>
      <sheetName val="5-11-愛信"/>
      <sheetName val="5-18"/>
      <sheetName val="移轉"/>
      <sheetName val="落後未噴塗調查"/>
      <sheetName val="新生產管制表"/>
      <sheetName val="5SN料號"/>
      <sheetName val="PP"/>
      <sheetName val="盤數"/>
      <sheetName val="總表"/>
      <sheetName val="雷雕處遮蔽&amp;艾仕得8844"/>
      <sheetName val="排程"/>
      <sheetName val="愛信顏色首噴日期"/>
      <sheetName val="新舊料對照"/>
      <sheetName val="色碼對照"/>
      <sheetName val="工作表7"/>
      <sheetName val="專用底"/>
      <sheetName val="工作表2"/>
      <sheetName val="12-1"/>
      <sheetName val="3-9-愛信"/>
      <sheetName val="3-9"/>
      <sheetName val="3-13"/>
      <sheetName val="3-16-愛信"/>
      <sheetName val="3-18"/>
      <sheetName val="3-26"/>
      <sheetName val="4-2"/>
      <sheetName val="4-2-愛信"/>
      <sheetName val="11-11"/>
      <sheetName val="空白"/>
      <sheetName val="11-20"/>
      <sheetName val="11-26"/>
      <sheetName val="11-26-愛信"/>
      <sheetName val="12-8"/>
      <sheetName val="12-8-愛信"/>
      <sheetName val="12-15"/>
      <sheetName val="12-19-愛信"/>
      <sheetName val="1-19"/>
      <sheetName val="12-19"/>
      <sheetName val="1-2"/>
      <sheetName val="1-2-愛信"/>
      <sheetName val="1-13"/>
      <sheetName val="1-13愛信"/>
      <sheetName val="1-27"/>
      <sheetName val="1-27愛信"/>
      <sheetName val="1-29"/>
      <sheetName val="2-9"/>
      <sheetName val="2-10"/>
      <sheetName val="2-23-愛信"/>
      <sheetName val="2-23"/>
      <sheetName val="3-2"/>
      <sheetName val="5-6"/>
      <sheetName val="5-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>
        <row r="1">
          <cell r="F1" t="str">
            <v>製令編號</v>
          </cell>
        </row>
      </sheetData>
      <sheetData sheetId="12"/>
      <sheetData sheetId="13"/>
      <sheetData sheetId="14"/>
      <sheetData sheetId="15"/>
      <sheetData sheetId="16">
        <row r="1">
          <cell r="A1" t="str">
            <v>★PT001458查詢     需噴塗8844透明底的顏色品號</v>
          </cell>
        </row>
        <row r="2">
          <cell r="A2" t="str">
            <v>品號</v>
          </cell>
          <cell r="C2" t="str">
            <v>右=R   左=L</v>
          </cell>
        </row>
        <row r="3">
          <cell r="A3" t="str">
            <v>A3257120T</v>
          </cell>
          <cell r="B3">
            <v>4983</v>
          </cell>
          <cell r="C3" t="str">
            <v>L</v>
          </cell>
        </row>
        <row r="4">
          <cell r="A4" t="str">
            <v>A3257220T</v>
          </cell>
          <cell r="B4">
            <v>4984</v>
          </cell>
          <cell r="C4" t="str">
            <v>R</v>
          </cell>
        </row>
        <row r="5">
          <cell r="A5" t="str">
            <v>A3271340T</v>
          </cell>
          <cell r="B5">
            <v>4818</v>
          </cell>
          <cell r="C5" t="str">
            <v>L</v>
          </cell>
        </row>
        <row r="6">
          <cell r="A6" t="str">
            <v>A3271320T</v>
          </cell>
          <cell r="B6">
            <v>4818</v>
          </cell>
          <cell r="C6" t="str">
            <v>L</v>
          </cell>
        </row>
        <row r="7">
          <cell r="A7" t="str">
            <v>A3271330T</v>
          </cell>
          <cell r="B7">
            <v>4818</v>
          </cell>
          <cell r="C7" t="str">
            <v>L</v>
          </cell>
        </row>
        <row r="8">
          <cell r="A8" t="str">
            <v>A3271310T</v>
          </cell>
          <cell r="B8">
            <v>4818</v>
          </cell>
          <cell r="C8" t="str">
            <v>L</v>
          </cell>
        </row>
        <row r="9">
          <cell r="A9" t="str">
            <v>A3271350T</v>
          </cell>
          <cell r="B9">
            <v>4818</v>
          </cell>
          <cell r="C9" t="str">
            <v>L</v>
          </cell>
        </row>
        <row r="10">
          <cell r="A10" t="str">
            <v>A3271360T</v>
          </cell>
          <cell r="B10" t="str">
            <v>4818+8844</v>
          </cell>
          <cell r="C10" t="str">
            <v>L</v>
          </cell>
        </row>
        <row r="11">
          <cell r="A11" t="str">
            <v>A3271440T</v>
          </cell>
          <cell r="B11">
            <v>4819</v>
          </cell>
          <cell r="C11" t="str">
            <v>R</v>
          </cell>
        </row>
        <row r="12">
          <cell r="A12" t="str">
            <v>A3271420T</v>
          </cell>
          <cell r="B12">
            <v>4819</v>
          </cell>
          <cell r="C12" t="str">
            <v>R</v>
          </cell>
        </row>
        <row r="13">
          <cell r="A13" t="str">
            <v>A3271430T</v>
          </cell>
          <cell r="B13">
            <v>4819</v>
          </cell>
          <cell r="C13" t="str">
            <v>R</v>
          </cell>
        </row>
        <row r="14">
          <cell r="A14" t="str">
            <v>A3271410T</v>
          </cell>
          <cell r="B14">
            <v>4819</v>
          </cell>
          <cell r="C14" t="str">
            <v>R</v>
          </cell>
        </row>
        <row r="15">
          <cell r="A15" t="str">
            <v>A3271450T</v>
          </cell>
          <cell r="B15">
            <v>4819</v>
          </cell>
          <cell r="C15" t="str">
            <v>R</v>
          </cell>
        </row>
        <row r="16">
          <cell r="A16" t="str">
            <v>A3271460T</v>
          </cell>
          <cell r="B16" t="str">
            <v>4819+8844</v>
          </cell>
          <cell r="C16" t="str">
            <v>R</v>
          </cell>
        </row>
        <row r="17">
          <cell r="A17" t="str">
            <v>A3271740T</v>
          </cell>
          <cell r="B17">
            <v>4820</v>
          </cell>
          <cell r="C17" t="str">
            <v>L</v>
          </cell>
        </row>
        <row r="18">
          <cell r="A18" t="str">
            <v>A3271720T</v>
          </cell>
          <cell r="B18">
            <v>4820</v>
          </cell>
          <cell r="C18" t="str">
            <v>L</v>
          </cell>
        </row>
        <row r="19">
          <cell r="A19" t="str">
            <v>A3271730T</v>
          </cell>
          <cell r="B19">
            <v>4820</v>
          </cell>
          <cell r="C19" t="str">
            <v>L</v>
          </cell>
        </row>
        <row r="20">
          <cell r="A20" t="str">
            <v>A3271710T</v>
          </cell>
          <cell r="B20">
            <v>4820</v>
          </cell>
          <cell r="C20" t="str">
            <v>L</v>
          </cell>
        </row>
        <row r="21">
          <cell r="A21" t="str">
            <v>A3271750T</v>
          </cell>
          <cell r="B21">
            <v>4820</v>
          </cell>
          <cell r="C21" t="str">
            <v>L</v>
          </cell>
        </row>
        <row r="22">
          <cell r="A22" t="str">
            <v>A3271760T</v>
          </cell>
          <cell r="B22">
            <v>4820</v>
          </cell>
          <cell r="C22" t="str">
            <v>L</v>
          </cell>
        </row>
        <row r="23">
          <cell r="A23" t="str">
            <v>A3271840T</v>
          </cell>
          <cell r="B23">
            <v>4821</v>
          </cell>
          <cell r="C23" t="str">
            <v>R</v>
          </cell>
        </row>
        <row r="24">
          <cell r="A24" t="str">
            <v>A3271810T</v>
          </cell>
          <cell r="B24">
            <v>4821</v>
          </cell>
          <cell r="C24" t="str">
            <v>R</v>
          </cell>
        </row>
        <row r="25">
          <cell r="A25" t="str">
            <v>A3271820T</v>
          </cell>
          <cell r="B25">
            <v>4821</v>
          </cell>
          <cell r="C25" t="str">
            <v>R</v>
          </cell>
        </row>
        <row r="26">
          <cell r="A26" t="str">
            <v>A3271830T</v>
          </cell>
          <cell r="B26">
            <v>4821</v>
          </cell>
          <cell r="C26" t="str">
            <v>R</v>
          </cell>
        </row>
        <row r="27">
          <cell r="A27" t="str">
            <v>A3271850T</v>
          </cell>
          <cell r="B27">
            <v>4821</v>
          </cell>
          <cell r="C27" t="str">
            <v>R</v>
          </cell>
        </row>
        <row r="28">
          <cell r="A28" t="str">
            <v>A3271860T</v>
          </cell>
          <cell r="B28" t="str">
            <v>4821+8844</v>
          </cell>
          <cell r="C28" t="str">
            <v>R</v>
          </cell>
        </row>
        <row r="29">
          <cell r="A29" t="str">
            <v>A3271540T</v>
          </cell>
          <cell r="B29">
            <v>4822</v>
          </cell>
          <cell r="C29" t="str">
            <v>L</v>
          </cell>
        </row>
        <row r="30">
          <cell r="A30" t="str">
            <v>A3271520T</v>
          </cell>
          <cell r="B30">
            <v>4822</v>
          </cell>
          <cell r="C30" t="str">
            <v>L</v>
          </cell>
        </row>
        <row r="31">
          <cell r="A31" t="str">
            <v>A3271530T</v>
          </cell>
          <cell r="B31">
            <v>4822</v>
          </cell>
          <cell r="C31" t="str">
            <v>L</v>
          </cell>
        </row>
        <row r="32">
          <cell r="A32" t="str">
            <v>A3271510T</v>
          </cell>
          <cell r="B32">
            <v>4822</v>
          </cell>
          <cell r="C32" t="str">
            <v>L</v>
          </cell>
        </row>
        <row r="33">
          <cell r="A33" t="str">
            <v>A3271550T</v>
          </cell>
          <cell r="B33">
            <v>4822</v>
          </cell>
          <cell r="C33" t="str">
            <v>L</v>
          </cell>
        </row>
        <row r="34">
          <cell r="A34" t="str">
            <v>A3271560T</v>
          </cell>
          <cell r="B34" t="str">
            <v>4822+8844</v>
          </cell>
          <cell r="C34" t="str">
            <v>L</v>
          </cell>
        </row>
        <row r="35">
          <cell r="A35" t="str">
            <v>A3271640T</v>
          </cell>
          <cell r="B35">
            <v>4823</v>
          </cell>
          <cell r="C35" t="str">
            <v>R</v>
          </cell>
        </row>
        <row r="36">
          <cell r="A36" t="str">
            <v>A3271620T</v>
          </cell>
          <cell r="B36">
            <v>4823</v>
          </cell>
          <cell r="C36" t="str">
            <v>R</v>
          </cell>
        </row>
        <row r="37">
          <cell r="A37" t="str">
            <v>A3271630T</v>
          </cell>
          <cell r="B37">
            <v>4823</v>
          </cell>
          <cell r="C37" t="str">
            <v>R</v>
          </cell>
        </row>
        <row r="38">
          <cell r="A38" t="str">
            <v>A3271610T</v>
          </cell>
          <cell r="B38">
            <v>4823</v>
          </cell>
          <cell r="C38" t="str">
            <v>R</v>
          </cell>
        </row>
        <row r="39">
          <cell r="A39" t="str">
            <v>A3271650T</v>
          </cell>
          <cell r="B39">
            <v>4823</v>
          </cell>
          <cell r="C39" t="str">
            <v>R</v>
          </cell>
        </row>
        <row r="40">
          <cell r="A40" t="str">
            <v>A3271660T</v>
          </cell>
          <cell r="B40" t="str">
            <v>4823+8844</v>
          </cell>
          <cell r="C40" t="str">
            <v>R</v>
          </cell>
        </row>
        <row r="41">
          <cell r="A41" t="str">
            <v>A3266350T</v>
          </cell>
          <cell r="B41" t="str">
            <v>4825+8844</v>
          </cell>
          <cell r="C41" t="str">
            <v>L</v>
          </cell>
        </row>
        <row r="42">
          <cell r="A42" t="str">
            <v>A3266310T</v>
          </cell>
          <cell r="B42">
            <v>4825</v>
          </cell>
          <cell r="C42" t="str">
            <v>L</v>
          </cell>
        </row>
        <row r="43">
          <cell r="A43" t="str">
            <v>A3266320T</v>
          </cell>
          <cell r="B43">
            <v>4825</v>
          </cell>
          <cell r="C43" t="str">
            <v>L</v>
          </cell>
        </row>
        <row r="44">
          <cell r="A44" t="str">
            <v>A3266330T</v>
          </cell>
          <cell r="B44">
            <v>4825</v>
          </cell>
          <cell r="C44" t="str">
            <v>L</v>
          </cell>
        </row>
        <row r="45">
          <cell r="A45" t="str">
            <v>A3266340T</v>
          </cell>
          <cell r="B45" t="str">
            <v>4825+8844</v>
          </cell>
          <cell r="C45" t="str">
            <v>L</v>
          </cell>
        </row>
        <row r="46">
          <cell r="A46" t="str">
            <v>A3266360T</v>
          </cell>
          <cell r="B46">
            <v>4825</v>
          </cell>
          <cell r="C46" t="str">
            <v>L</v>
          </cell>
        </row>
        <row r="47">
          <cell r="A47" t="str">
            <v>A3266450T</v>
          </cell>
          <cell r="B47" t="str">
            <v>4826+8844</v>
          </cell>
          <cell r="C47" t="str">
            <v>R</v>
          </cell>
        </row>
        <row r="48">
          <cell r="A48" t="str">
            <v>A3266420T</v>
          </cell>
          <cell r="B48">
            <v>4826</v>
          </cell>
          <cell r="C48" t="str">
            <v>R</v>
          </cell>
        </row>
        <row r="49">
          <cell r="A49" t="str">
            <v>A3266440T</v>
          </cell>
          <cell r="B49" t="str">
            <v>4826+8844</v>
          </cell>
          <cell r="C49" t="str">
            <v>R</v>
          </cell>
        </row>
        <row r="50">
          <cell r="A50" t="str">
            <v>A3266460T</v>
          </cell>
          <cell r="B50">
            <v>4826</v>
          </cell>
          <cell r="C50" t="str">
            <v>R</v>
          </cell>
        </row>
        <row r="51">
          <cell r="A51" t="str">
            <v>A3266410T</v>
          </cell>
          <cell r="B51">
            <v>4826</v>
          </cell>
          <cell r="C51" t="str">
            <v>R</v>
          </cell>
        </row>
        <row r="52">
          <cell r="A52" t="str">
            <v>A3266430T</v>
          </cell>
          <cell r="B52">
            <v>4826</v>
          </cell>
          <cell r="C52" t="str">
            <v>R</v>
          </cell>
        </row>
        <row r="53">
          <cell r="A53" t="str">
            <v>A3268560T</v>
          </cell>
          <cell r="B53">
            <v>4852</v>
          </cell>
          <cell r="C53" t="str">
            <v>R</v>
          </cell>
        </row>
        <row r="54">
          <cell r="A54" t="str">
            <v>A3268660T</v>
          </cell>
          <cell r="B54">
            <v>4853</v>
          </cell>
          <cell r="C54" t="str">
            <v>L</v>
          </cell>
        </row>
        <row r="55">
          <cell r="A55" t="str">
            <v>A3269610T</v>
          </cell>
          <cell r="B55" t="str">
            <v>PP4858、手貼遮蔽紙、大頭</v>
          </cell>
          <cell r="C55" t="str">
            <v>L</v>
          </cell>
        </row>
        <row r="56">
          <cell r="A56" t="str">
            <v>A3269710T</v>
          </cell>
          <cell r="B56" t="str">
            <v>PP4859、手貼遮蔽紙、大頭</v>
          </cell>
          <cell r="C56" t="str">
            <v>R</v>
          </cell>
        </row>
        <row r="57">
          <cell r="A57" t="str">
            <v>A3269620T</v>
          </cell>
          <cell r="B57" t="str">
            <v>PP4858、手貼遮蔽紙、大頭</v>
          </cell>
          <cell r="C57" t="str">
            <v>L</v>
          </cell>
        </row>
        <row r="58">
          <cell r="A58" t="str">
            <v>A3269720T</v>
          </cell>
          <cell r="B58" t="str">
            <v>PP4859、手貼遮蔽紙、大頭</v>
          </cell>
          <cell r="C58" t="str">
            <v>R</v>
          </cell>
        </row>
        <row r="59">
          <cell r="A59" t="str">
            <v>A3270110T</v>
          </cell>
          <cell r="B59">
            <v>4877</v>
          </cell>
          <cell r="C59" t="str">
            <v>R</v>
          </cell>
        </row>
        <row r="60">
          <cell r="A60" t="str">
            <v>A3270210T</v>
          </cell>
          <cell r="B60">
            <v>4878</v>
          </cell>
          <cell r="C60" t="str">
            <v>L</v>
          </cell>
        </row>
        <row r="61">
          <cell r="A61" t="str">
            <v>A3271110T</v>
          </cell>
          <cell r="B61" t="str">
            <v>4816-貼背面</v>
          </cell>
          <cell r="C61" t="str">
            <v>L</v>
          </cell>
        </row>
        <row r="62">
          <cell r="A62" t="str">
            <v>A3271210T</v>
          </cell>
          <cell r="B62" t="str">
            <v>4817-貼背面</v>
          </cell>
          <cell r="C62" t="str">
            <v>R</v>
          </cell>
        </row>
        <row r="63">
          <cell r="A63" t="str">
            <v>A3268520T</v>
          </cell>
          <cell r="B63">
            <v>4852</v>
          </cell>
          <cell r="C63" t="str">
            <v>R</v>
          </cell>
        </row>
        <row r="64">
          <cell r="A64" t="str">
            <v>A3268620T</v>
          </cell>
          <cell r="B64">
            <v>4853</v>
          </cell>
          <cell r="C64" t="str">
            <v>L</v>
          </cell>
        </row>
        <row r="65">
          <cell r="A65" t="str">
            <v>A3268510T</v>
          </cell>
          <cell r="B65">
            <v>4852</v>
          </cell>
          <cell r="C65" t="str">
            <v>R</v>
          </cell>
        </row>
        <row r="66">
          <cell r="A66" t="str">
            <v>A3268540T</v>
          </cell>
          <cell r="B66">
            <v>4852</v>
          </cell>
          <cell r="C66" t="str">
            <v>R</v>
          </cell>
        </row>
        <row r="67">
          <cell r="A67" t="str">
            <v>A3268610T</v>
          </cell>
          <cell r="B67">
            <v>4853</v>
          </cell>
          <cell r="C67" t="str">
            <v>L</v>
          </cell>
        </row>
        <row r="68">
          <cell r="A68" t="str">
            <v>A3268640T</v>
          </cell>
          <cell r="B68">
            <v>4853</v>
          </cell>
          <cell r="C68" t="str">
            <v>L</v>
          </cell>
        </row>
        <row r="69">
          <cell r="A69" t="str">
            <v>A3268590T</v>
          </cell>
          <cell r="B69" t="str">
            <v>4852+8844</v>
          </cell>
          <cell r="C69" t="str">
            <v>R</v>
          </cell>
        </row>
        <row r="70">
          <cell r="A70" t="str">
            <v>A3268690T</v>
          </cell>
          <cell r="B70" t="str">
            <v>4853+8844</v>
          </cell>
          <cell r="C70" t="str">
            <v>L</v>
          </cell>
        </row>
        <row r="71">
          <cell r="A71" t="str">
            <v>A3268550T</v>
          </cell>
          <cell r="B71">
            <v>4852</v>
          </cell>
          <cell r="C71" t="str">
            <v>R</v>
          </cell>
        </row>
        <row r="72">
          <cell r="A72" t="str">
            <v>A3268570T</v>
          </cell>
          <cell r="B72">
            <v>4852</v>
          </cell>
          <cell r="C72" t="str">
            <v>R</v>
          </cell>
        </row>
        <row r="73">
          <cell r="A73" t="str">
            <v>A3268650T</v>
          </cell>
          <cell r="B73">
            <v>4853</v>
          </cell>
          <cell r="C73" t="str">
            <v>L</v>
          </cell>
        </row>
        <row r="74">
          <cell r="A74" t="str">
            <v>A3268670T</v>
          </cell>
          <cell r="B74">
            <v>4853</v>
          </cell>
          <cell r="C74" t="str">
            <v>L</v>
          </cell>
        </row>
        <row r="75">
          <cell r="A75" t="str">
            <v>A3268580T</v>
          </cell>
          <cell r="B75">
            <v>4852</v>
          </cell>
          <cell r="C75" t="str">
            <v>R</v>
          </cell>
        </row>
        <row r="76">
          <cell r="A76" t="str">
            <v>A3268680T</v>
          </cell>
          <cell r="B76">
            <v>4853</v>
          </cell>
          <cell r="C76" t="str">
            <v>L</v>
          </cell>
        </row>
        <row r="77">
          <cell r="A77" t="str">
            <v>A32427H0T</v>
          </cell>
          <cell r="B77" t="str">
            <v>8844*4、新金油</v>
          </cell>
          <cell r="C77" t="str">
            <v>8度頭蓋</v>
          </cell>
        </row>
        <row r="78">
          <cell r="A78" t="str">
            <v>A32427J0T</v>
          </cell>
          <cell r="B78" t="str">
            <v>8844*4、新金油</v>
          </cell>
          <cell r="C78" t="str">
            <v>8度頭蓋</v>
          </cell>
        </row>
        <row r="79">
          <cell r="A79" t="str">
            <v>A3252010T</v>
          </cell>
          <cell r="B79" t="str">
            <v>新金油、8844*4+金屬底</v>
          </cell>
          <cell r="C79" t="str">
            <v>16度頭蓋</v>
          </cell>
        </row>
        <row r="80">
          <cell r="A80" t="str">
            <v>A3252050T</v>
          </cell>
          <cell r="B80" t="str">
            <v>8844*4+金屬底</v>
          </cell>
          <cell r="C80" t="str">
            <v>16度頭蓋</v>
          </cell>
        </row>
        <row r="81">
          <cell r="A81" t="str">
            <v>A3252060T</v>
          </cell>
          <cell r="B81" t="str">
            <v>新金油、8844*4+金屬底</v>
          </cell>
          <cell r="C81" t="str">
            <v>16度頭蓋</v>
          </cell>
        </row>
        <row r="82">
          <cell r="A82" t="str">
            <v>A3252090T</v>
          </cell>
          <cell r="B82" t="str">
            <v>8844*4+金屬底</v>
          </cell>
          <cell r="C82" t="str">
            <v>16度頭蓋</v>
          </cell>
        </row>
        <row r="83">
          <cell r="A83" t="str">
            <v>A32427M0T</v>
          </cell>
          <cell r="B83" t="str">
            <v>8844*4、新金油</v>
          </cell>
          <cell r="C83" t="str">
            <v>8度頭蓋</v>
          </cell>
        </row>
        <row r="84">
          <cell r="A84" t="str">
            <v>A32427K0T</v>
          </cell>
          <cell r="B84" t="str">
            <v>8844*4、新金油</v>
          </cell>
          <cell r="C84" t="str">
            <v>8度頭蓋</v>
          </cell>
        </row>
        <row r="85">
          <cell r="A85" t="str">
            <v>A32427L0T</v>
          </cell>
          <cell r="B85" t="str">
            <v>8844*4、新金油</v>
          </cell>
          <cell r="C85" t="str">
            <v>8度頭蓋</v>
          </cell>
        </row>
        <row r="86">
          <cell r="A86" t="str">
            <v>A32427M0T</v>
          </cell>
          <cell r="B86" t="str">
            <v>8844*4、新金油</v>
          </cell>
          <cell r="C86" t="str">
            <v>8度頭蓋</v>
          </cell>
        </row>
        <row r="87">
          <cell r="A87" t="str">
            <v>A32250S0T</v>
          </cell>
          <cell r="B87" t="str">
            <v>新金油</v>
          </cell>
        </row>
        <row r="88">
          <cell r="A88" t="str">
            <v>A3000250T</v>
          </cell>
          <cell r="B88" t="str">
            <v>新金油</v>
          </cell>
        </row>
        <row r="89">
          <cell r="A89" t="str">
            <v>A3000220T</v>
          </cell>
          <cell r="B89" t="str">
            <v>新金油</v>
          </cell>
        </row>
        <row r="90">
          <cell r="A90" t="str">
            <v>A30007K0T</v>
          </cell>
          <cell r="B90" t="str">
            <v>新金油</v>
          </cell>
        </row>
        <row r="91">
          <cell r="A91" t="str">
            <v>A32217L0T</v>
          </cell>
          <cell r="B91" t="str">
            <v>新金油</v>
          </cell>
          <cell r="C91" t="str">
            <v>0度頭蓋</v>
          </cell>
        </row>
        <row r="92">
          <cell r="A92" t="str">
            <v>A3000720T</v>
          </cell>
          <cell r="B92" t="str">
            <v>新金油</v>
          </cell>
        </row>
        <row r="93">
          <cell r="A93" t="str">
            <v>A32250Y0T</v>
          </cell>
          <cell r="B93" t="str">
            <v>新金油</v>
          </cell>
        </row>
        <row r="94">
          <cell r="A94" t="str">
            <v>A32217S0T</v>
          </cell>
          <cell r="B94" t="str">
            <v>新金油</v>
          </cell>
          <cell r="C94" t="str">
            <v>0度頭蓋</v>
          </cell>
        </row>
        <row r="95">
          <cell r="A95" t="str">
            <v>A3000213T</v>
          </cell>
          <cell r="B95" t="str">
            <v>新金油</v>
          </cell>
        </row>
        <row r="96">
          <cell r="A96" t="str">
            <v>A3275640T</v>
          </cell>
          <cell r="B96" t="str">
            <v>新金油</v>
          </cell>
          <cell r="C96" t="str">
            <v>8度頭蓋</v>
          </cell>
        </row>
        <row r="97">
          <cell r="A97" t="str">
            <v>A3275740T</v>
          </cell>
          <cell r="B97" t="str">
            <v>新金油</v>
          </cell>
        </row>
        <row r="98">
          <cell r="A98" t="str">
            <v>A32217C0T</v>
          </cell>
          <cell r="B98" t="str">
            <v>新金油</v>
          </cell>
          <cell r="C98" t="str">
            <v>0度頭蓋</v>
          </cell>
        </row>
        <row r="99">
          <cell r="A99" t="str">
            <v>A3257610T</v>
          </cell>
          <cell r="B99" t="str">
            <v>新金油</v>
          </cell>
        </row>
        <row r="100">
          <cell r="A100" t="str">
            <v>A3258040T</v>
          </cell>
          <cell r="B100" t="str">
            <v>新金油</v>
          </cell>
        </row>
        <row r="101">
          <cell r="A101" t="str">
            <v>A32250H0T</v>
          </cell>
          <cell r="B101" t="str">
            <v>新金油</v>
          </cell>
        </row>
        <row r="102">
          <cell r="A102" t="str">
            <v>A3225061T</v>
          </cell>
          <cell r="B102" t="str">
            <v>新金油</v>
          </cell>
        </row>
        <row r="103">
          <cell r="A103" t="str">
            <v>A3225081T</v>
          </cell>
          <cell r="B103" t="str">
            <v>新金油</v>
          </cell>
        </row>
        <row r="104">
          <cell r="A104" t="str">
            <v>A3221640T</v>
          </cell>
          <cell r="B104" t="str">
            <v>新金油</v>
          </cell>
        </row>
        <row r="105">
          <cell r="A105" t="str">
            <v>A3225091T</v>
          </cell>
          <cell r="B105" t="str">
            <v>新金油</v>
          </cell>
        </row>
        <row r="106">
          <cell r="A106" t="str">
            <v>A3225001T</v>
          </cell>
          <cell r="B106" t="str">
            <v>新金油</v>
          </cell>
        </row>
        <row r="107">
          <cell r="A107" t="str">
            <v>A30007A0T</v>
          </cell>
          <cell r="B107" t="str">
            <v>新金油</v>
          </cell>
        </row>
        <row r="108">
          <cell r="A108" t="str">
            <v>A3258020T</v>
          </cell>
          <cell r="B108" t="str">
            <v>新金油</v>
          </cell>
        </row>
        <row r="109">
          <cell r="A109" t="str">
            <v>A30007Y0T</v>
          </cell>
          <cell r="B109" t="str">
            <v>新金油</v>
          </cell>
        </row>
        <row r="110">
          <cell r="A110" t="str">
            <v>A3252040T</v>
          </cell>
          <cell r="B110" t="str">
            <v>新金油、8844*4+金屬底</v>
          </cell>
          <cell r="C110" t="str">
            <v>16度頭蓋</v>
          </cell>
        </row>
        <row r="111">
          <cell r="A111" t="str">
            <v>A3252020T</v>
          </cell>
          <cell r="B111" t="str">
            <v>新金油、8844*4+金屬底</v>
          </cell>
          <cell r="C111" t="str">
            <v>16度頭蓋</v>
          </cell>
        </row>
        <row r="112">
          <cell r="A112" t="str">
            <v>A3252030T</v>
          </cell>
          <cell r="B112" t="str">
            <v>新金油、8844*4+金屬底</v>
          </cell>
          <cell r="C112" t="str">
            <v>16度頭蓋</v>
          </cell>
        </row>
        <row r="113">
          <cell r="A113" t="str">
            <v>A3000270T</v>
          </cell>
          <cell r="B113" t="str">
            <v>新金油</v>
          </cell>
        </row>
        <row r="114">
          <cell r="A114" t="str">
            <v>A3004741T</v>
          </cell>
          <cell r="B114" t="str">
            <v>新金油</v>
          </cell>
        </row>
        <row r="115">
          <cell r="A115" t="str">
            <v>A30007U9T</v>
          </cell>
          <cell r="B115" t="str">
            <v>新金油</v>
          </cell>
        </row>
        <row r="116">
          <cell r="A116" t="str">
            <v>A30007N1T</v>
          </cell>
          <cell r="B116" t="str">
            <v>新金油</v>
          </cell>
        </row>
        <row r="117">
          <cell r="A117" t="str">
            <v>A3227760T</v>
          </cell>
          <cell r="B117" t="str">
            <v>新金油</v>
          </cell>
        </row>
        <row r="118">
          <cell r="A118" t="str">
            <v>A32474B0T</v>
          </cell>
          <cell r="B118" t="str">
            <v>黃底漆</v>
          </cell>
          <cell r="C118" t="str">
            <v>0度頭蓋</v>
          </cell>
        </row>
        <row r="119">
          <cell r="A119" t="str">
            <v>A3247510T</v>
          </cell>
          <cell r="B119" t="str">
            <v>黃底漆</v>
          </cell>
          <cell r="C119" t="str">
            <v>0度頭蓋</v>
          </cell>
        </row>
        <row r="120">
          <cell r="A120" t="str">
            <v>A3247610T</v>
          </cell>
          <cell r="B120" t="str">
            <v>黃底漆</v>
          </cell>
          <cell r="C120" t="str">
            <v>0度頭蓋</v>
          </cell>
        </row>
        <row r="121">
          <cell r="A121" t="str">
            <v>A3246010T</v>
          </cell>
          <cell r="B121" t="str">
            <v>8844、不噴底</v>
          </cell>
        </row>
        <row r="122">
          <cell r="A122" t="str">
            <v>A3246110T</v>
          </cell>
          <cell r="B122" t="str">
            <v>8844、不噴底</v>
          </cell>
        </row>
        <row r="123">
          <cell r="A123" t="str">
            <v>A3246210T</v>
          </cell>
          <cell r="B123" t="str">
            <v>8844、不噴底</v>
          </cell>
        </row>
        <row r="124">
          <cell r="A124" t="str">
            <v>A3221610T</v>
          </cell>
          <cell r="B124" t="str">
            <v>新金油</v>
          </cell>
        </row>
        <row r="125">
          <cell r="A125" t="str">
            <v>A3004741T</v>
          </cell>
          <cell r="B125" t="str">
            <v>新金油</v>
          </cell>
        </row>
        <row r="126">
          <cell r="A126" t="str">
            <v>A30007U9T</v>
          </cell>
          <cell r="B126" t="str">
            <v>新金油</v>
          </cell>
        </row>
        <row r="127">
          <cell r="A127" t="str">
            <v>A32250Z0T</v>
          </cell>
          <cell r="B127" t="str">
            <v>新金油</v>
          </cell>
        </row>
        <row r="128">
          <cell r="A128" t="str">
            <v>A3225011T</v>
          </cell>
          <cell r="B128" t="str">
            <v>新金油</v>
          </cell>
        </row>
        <row r="129">
          <cell r="A129" t="str">
            <v>A3000780T</v>
          </cell>
          <cell r="B129" t="str">
            <v>新金油</v>
          </cell>
        </row>
        <row r="130">
          <cell r="A130" t="str">
            <v>A3004360T</v>
          </cell>
          <cell r="B130" t="str">
            <v>新金油</v>
          </cell>
        </row>
        <row r="131">
          <cell r="A131" t="str">
            <v>A32217S0T</v>
          </cell>
          <cell r="B131" t="str">
            <v>新金油</v>
          </cell>
          <cell r="C131" t="str">
            <v>0度頭蓋</v>
          </cell>
        </row>
        <row r="132">
          <cell r="A132" t="str">
            <v>A30041A0T</v>
          </cell>
          <cell r="B132" t="str">
            <v>新金油</v>
          </cell>
        </row>
        <row r="133">
          <cell r="A133" t="str">
            <v>A30041E0T</v>
          </cell>
          <cell r="B133" t="str">
            <v>新金油</v>
          </cell>
        </row>
        <row r="134">
          <cell r="A134" t="str">
            <v>A30041G0T</v>
          </cell>
          <cell r="B134" t="str">
            <v>新金油</v>
          </cell>
        </row>
        <row r="135">
          <cell r="A135" t="str">
            <v>A30041K0T</v>
          </cell>
          <cell r="B135" t="str">
            <v>新金油</v>
          </cell>
        </row>
        <row r="136">
          <cell r="A136" t="str">
            <v>A30043G0T</v>
          </cell>
          <cell r="B136" t="str">
            <v>新金油</v>
          </cell>
        </row>
        <row r="137">
          <cell r="A137" t="str">
            <v>A30041S0T</v>
          </cell>
          <cell r="B137" t="str">
            <v>新金油</v>
          </cell>
        </row>
        <row r="138">
          <cell r="A138" t="str">
            <v>A3004320T</v>
          </cell>
          <cell r="B138" t="str">
            <v>新金油</v>
          </cell>
        </row>
        <row r="139">
          <cell r="A139" t="str">
            <v>A3004350T</v>
          </cell>
          <cell r="B139" t="str">
            <v>新金油</v>
          </cell>
        </row>
        <row r="140">
          <cell r="A140" t="str">
            <v>A3004380T</v>
          </cell>
          <cell r="B140" t="str">
            <v>新金油</v>
          </cell>
        </row>
        <row r="141">
          <cell r="A141" t="str">
            <v>A30043K0T</v>
          </cell>
          <cell r="B141" t="str">
            <v>新金油</v>
          </cell>
        </row>
        <row r="142">
          <cell r="A142" t="str">
            <v>A30043P0T</v>
          </cell>
          <cell r="B142" t="str">
            <v>新金油</v>
          </cell>
        </row>
        <row r="143">
          <cell r="A143" t="str">
            <v>A3004460T</v>
          </cell>
          <cell r="B143" t="str">
            <v>新金油</v>
          </cell>
        </row>
        <row r="144">
          <cell r="A144" t="str">
            <v>A32250D0T</v>
          </cell>
          <cell r="B144" t="str">
            <v>新金油</v>
          </cell>
        </row>
        <row r="145">
          <cell r="A145" t="str">
            <v>A3213740T</v>
          </cell>
          <cell r="B145" t="str">
            <v>新金油</v>
          </cell>
        </row>
        <row r="146">
          <cell r="A146" t="str">
            <v>A3219280T</v>
          </cell>
          <cell r="B146" t="str">
            <v>新金油</v>
          </cell>
        </row>
        <row r="147">
          <cell r="A147" t="str">
            <v>A3258030T</v>
          </cell>
          <cell r="B147" t="str">
            <v>新金油</v>
          </cell>
        </row>
        <row r="148">
          <cell r="A148" t="str">
            <v>A3000260T</v>
          </cell>
          <cell r="B148" t="str">
            <v>新金油</v>
          </cell>
        </row>
        <row r="149">
          <cell r="A149" t="str">
            <v>A3000280T</v>
          </cell>
          <cell r="B149" t="str">
            <v>新金油</v>
          </cell>
        </row>
        <row r="150">
          <cell r="A150" t="str">
            <v>A3221770T</v>
          </cell>
          <cell r="B150" t="str">
            <v>新金油</v>
          </cell>
          <cell r="C150" t="str">
            <v>0度頭蓋</v>
          </cell>
        </row>
        <row r="151">
          <cell r="A151" t="str">
            <v>A32250G0T</v>
          </cell>
          <cell r="B151" t="str">
            <v>新金油</v>
          </cell>
        </row>
        <row r="152">
          <cell r="A152" t="str">
            <v>A32217B0T</v>
          </cell>
          <cell r="B152" t="str">
            <v>新金油</v>
          </cell>
          <cell r="C152" t="str">
            <v>0度頭蓋</v>
          </cell>
        </row>
        <row r="153">
          <cell r="A153" t="str">
            <v>A3221630T</v>
          </cell>
          <cell r="B153" t="str">
            <v>新金油</v>
          </cell>
        </row>
        <row r="154">
          <cell r="A154" t="str">
            <v>A30007R0T</v>
          </cell>
          <cell r="B154" t="str">
            <v>新金油</v>
          </cell>
        </row>
        <row r="155">
          <cell r="A155" t="str">
            <v>A3225030T</v>
          </cell>
          <cell r="B155" t="str">
            <v>新金油</v>
          </cell>
        </row>
        <row r="156">
          <cell r="A156" t="str">
            <v>A3221770T</v>
          </cell>
          <cell r="B156" t="str">
            <v>新金油</v>
          </cell>
          <cell r="C156" t="str">
            <v>0度頭蓋</v>
          </cell>
        </row>
        <row r="157">
          <cell r="A157" t="str">
            <v>A3001020T</v>
          </cell>
          <cell r="B157" t="str">
            <v>新金油</v>
          </cell>
        </row>
        <row r="158">
          <cell r="A158" t="str">
            <v>A3000760T</v>
          </cell>
          <cell r="B158" t="str">
            <v>新金油</v>
          </cell>
        </row>
        <row r="159">
          <cell r="A159" t="str">
            <v>A3225000T</v>
          </cell>
          <cell r="B159" t="str">
            <v>新金油</v>
          </cell>
        </row>
        <row r="160">
          <cell r="A160" t="str">
            <v>A30007Y1T</v>
          </cell>
          <cell r="B160" t="str">
            <v>新金油</v>
          </cell>
        </row>
        <row r="161">
          <cell r="A161" t="str">
            <v>A30007B0T</v>
          </cell>
          <cell r="B161" t="str">
            <v>新金油</v>
          </cell>
        </row>
        <row r="162">
          <cell r="A162" t="str">
            <v>A30007P0T</v>
          </cell>
          <cell r="B162" t="str">
            <v>新金油</v>
          </cell>
        </row>
        <row r="163">
          <cell r="A163" t="str">
            <v>A30007L2T</v>
          </cell>
          <cell r="B163" t="str">
            <v>新金油</v>
          </cell>
        </row>
        <row r="164">
          <cell r="A164" t="str">
            <v>A30007X1T</v>
          </cell>
          <cell r="B164" t="str">
            <v>新金油</v>
          </cell>
        </row>
        <row r="165">
          <cell r="A165" t="str">
            <v>A32217Q0T</v>
          </cell>
          <cell r="B165" t="str">
            <v>新金油</v>
          </cell>
          <cell r="C165" t="str">
            <v>0度頭蓋</v>
          </cell>
        </row>
        <row r="166">
          <cell r="A166" t="str">
            <v>A30043M0T</v>
          </cell>
          <cell r="B166" t="str">
            <v>新金油</v>
          </cell>
        </row>
        <row r="167">
          <cell r="A167" t="str">
            <v>A30007N0T</v>
          </cell>
          <cell r="B167" t="str">
            <v>新金油</v>
          </cell>
        </row>
        <row r="168">
          <cell r="A168" t="str">
            <v>A30010L0T</v>
          </cell>
          <cell r="B168" t="str">
            <v>新金油</v>
          </cell>
        </row>
        <row r="169">
          <cell r="A169" t="str">
            <v>A3225071T</v>
          </cell>
          <cell r="B169" t="str">
            <v>新金油</v>
          </cell>
        </row>
        <row r="170">
          <cell r="A170" t="str">
            <v>A32250W0T</v>
          </cell>
          <cell r="B170" t="str">
            <v>新金油</v>
          </cell>
        </row>
        <row r="171">
          <cell r="A171" t="str">
            <v>A3225051T</v>
          </cell>
          <cell r="B171" t="str">
            <v>新金油</v>
          </cell>
        </row>
        <row r="172">
          <cell r="A172" t="str">
            <v>A32217V0T</v>
          </cell>
          <cell r="B172" t="str">
            <v>新金油</v>
          </cell>
          <cell r="C172" t="str">
            <v>0度頭蓋</v>
          </cell>
        </row>
        <row r="173">
          <cell r="A173" t="str">
            <v>A3004170T</v>
          </cell>
          <cell r="B173" t="str">
            <v>新金油</v>
          </cell>
        </row>
        <row r="174">
          <cell r="A174" t="str">
            <v>A3225021T</v>
          </cell>
          <cell r="B174" t="str">
            <v>新金油</v>
          </cell>
        </row>
        <row r="175">
          <cell r="A175" t="str">
            <v>A30043H0T</v>
          </cell>
          <cell r="B175" t="str">
            <v>新金油</v>
          </cell>
        </row>
        <row r="176">
          <cell r="A176" t="str">
            <v>A30007Z0T</v>
          </cell>
          <cell r="B176" t="str">
            <v>新金油</v>
          </cell>
        </row>
        <row r="177">
          <cell r="A177" t="str">
            <v>A30047A1T</v>
          </cell>
          <cell r="B177" t="str">
            <v>新金油</v>
          </cell>
        </row>
        <row r="178">
          <cell r="A178" t="str">
            <v>A32250E1T</v>
          </cell>
          <cell r="B178" t="str">
            <v>新金油</v>
          </cell>
        </row>
        <row r="179">
          <cell r="A179" t="str">
            <v>A32250D1T</v>
          </cell>
          <cell r="B179" t="str">
            <v>新金油</v>
          </cell>
        </row>
        <row r="180">
          <cell r="A180" t="str">
            <v>A3004610T</v>
          </cell>
          <cell r="B180" t="str">
            <v>新金油</v>
          </cell>
        </row>
        <row r="181">
          <cell r="A181" t="str">
            <v>A3000884T</v>
          </cell>
          <cell r="B181" t="str">
            <v>新金油</v>
          </cell>
        </row>
        <row r="182">
          <cell r="A182" t="str">
            <v>A30002C3T</v>
          </cell>
          <cell r="B182" t="str">
            <v>新金油</v>
          </cell>
        </row>
        <row r="183">
          <cell r="A183" t="str">
            <v>A32577B0T</v>
          </cell>
          <cell r="B183" t="str">
            <v>新金油</v>
          </cell>
        </row>
        <row r="184">
          <cell r="A184" t="str">
            <v>A3271380T</v>
          </cell>
          <cell r="B184" t="str">
            <v>4818、不噴金油</v>
          </cell>
          <cell r="C184" t="str">
            <v>L</v>
          </cell>
        </row>
        <row r="185">
          <cell r="A185" t="str">
            <v>A3271480T</v>
          </cell>
          <cell r="B185" t="str">
            <v>4819、不噴金油</v>
          </cell>
          <cell r="C185" t="str">
            <v>R</v>
          </cell>
        </row>
        <row r="186">
          <cell r="A186" t="str">
            <v>A3271780T</v>
          </cell>
          <cell r="B186" t="str">
            <v>4820、不噴金油</v>
          </cell>
          <cell r="C186" t="str">
            <v>L</v>
          </cell>
        </row>
        <row r="187">
          <cell r="A187" t="str">
            <v>A3271580T</v>
          </cell>
          <cell r="B187" t="str">
            <v>4822、不噴金油</v>
          </cell>
          <cell r="C187" t="str">
            <v>L</v>
          </cell>
        </row>
        <row r="188">
          <cell r="A188" t="str">
            <v>A3271680T</v>
          </cell>
          <cell r="B188" t="str">
            <v>4823、不噴金油</v>
          </cell>
          <cell r="C188" t="str">
            <v>R</v>
          </cell>
        </row>
        <row r="189">
          <cell r="A189" t="str">
            <v>A3271880T</v>
          </cell>
          <cell r="B189" t="str">
            <v>4821、不噴金油</v>
          </cell>
          <cell r="C189" t="str">
            <v>R</v>
          </cell>
        </row>
        <row r="190">
          <cell r="A190" t="str">
            <v>A32685B0T</v>
          </cell>
          <cell r="B190" t="str">
            <v>4852、不噴金油</v>
          </cell>
          <cell r="C190" t="str">
            <v>R</v>
          </cell>
        </row>
        <row r="191">
          <cell r="A191" t="str">
            <v>A32686B0T</v>
          </cell>
          <cell r="B191" t="str">
            <v>4853、不噴金油</v>
          </cell>
          <cell r="C191" t="str">
            <v>L</v>
          </cell>
        </row>
        <row r="192">
          <cell r="A192" t="str">
            <v>A3279690T</v>
          </cell>
          <cell r="B192" t="str">
            <v>5115、黑底</v>
          </cell>
          <cell r="C192" t="str">
            <v>L</v>
          </cell>
        </row>
        <row r="193">
          <cell r="A193" t="str">
            <v>A3279790T</v>
          </cell>
          <cell r="B193" t="str">
            <v>5116、黑底</v>
          </cell>
          <cell r="C193" t="str">
            <v>R</v>
          </cell>
        </row>
        <row r="194">
          <cell r="A194" t="str">
            <v>A32520J0T</v>
          </cell>
          <cell r="B194" t="str">
            <v>新金油、8844*4+金屬底</v>
          </cell>
          <cell r="C194" t="str">
            <v>16度頭蓋</v>
          </cell>
        </row>
        <row r="195">
          <cell r="A195" t="str">
            <v>A32520H0T</v>
          </cell>
          <cell r="B195" t="str">
            <v>新金油、8844*4+金屬底</v>
          </cell>
          <cell r="C195" t="str">
            <v>16度頭蓋</v>
          </cell>
        </row>
        <row r="196">
          <cell r="A196" t="str">
            <v>A32520M0T</v>
          </cell>
          <cell r="B196" t="str">
            <v>新金油、8844*4+金屬底</v>
          </cell>
          <cell r="C196" t="str">
            <v>16度頭蓋</v>
          </cell>
        </row>
        <row r="197">
          <cell r="A197" t="str">
            <v>A32520N0T</v>
          </cell>
          <cell r="B197" t="str">
            <v>新金油、8844*4+金屬底</v>
          </cell>
          <cell r="C197" t="str">
            <v>16度頭蓋</v>
          </cell>
        </row>
        <row r="198">
          <cell r="A198" t="str">
            <v>A3279850T</v>
          </cell>
          <cell r="B198">
            <v>5098</v>
          </cell>
          <cell r="C198" t="str">
            <v>L</v>
          </cell>
        </row>
        <row r="199">
          <cell r="A199" t="str">
            <v>A3279950T</v>
          </cell>
          <cell r="B199">
            <v>5099</v>
          </cell>
          <cell r="C199" t="str">
            <v>R</v>
          </cell>
        </row>
        <row r="200">
          <cell r="A200" t="str">
            <v>A3280050T</v>
          </cell>
          <cell r="B200">
            <v>5102</v>
          </cell>
          <cell r="C200" t="str">
            <v>L</v>
          </cell>
        </row>
        <row r="201">
          <cell r="A201" t="str">
            <v>A3280150T</v>
          </cell>
          <cell r="B201">
            <v>5103</v>
          </cell>
          <cell r="C201" t="str">
            <v>R</v>
          </cell>
        </row>
        <row r="202">
          <cell r="A202" t="str">
            <v>A3280010T</v>
          </cell>
          <cell r="B202">
            <v>5102</v>
          </cell>
          <cell r="C202" t="str">
            <v>L</v>
          </cell>
        </row>
        <row r="203">
          <cell r="A203" t="str">
            <v>A3280030T</v>
          </cell>
          <cell r="B203">
            <v>5102</v>
          </cell>
          <cell r="C203" t="str">
            <v>L</v>
          </cell>
        </row>
        <row r="204">
          <cell r="A204" t="str">
            <v>A3280040T</v>
          </cell>
          <cell r="B204">
            <v>5102</v>
          </cell>
          <cell r="C204" t="str">
            <v>L</v>
          </cell>
        </row>
        <row r="205">
          <cell r="A205" t="str">
            <v>A3280080T</v>
          </cell>
          <cell r="B205">
            <v>5102</v>
          </cell>
          <cell r="C205" t="str">
            <v>L</v>
          </cell>
        </row>
        <row r="206">
          <cell r="A206" t="str">
            <v>A3280070T</v>
          </cell>
          <cell r="B206">
            <v>5102</v>
          </cell>
          <cell r="C206" t="str">
            <v>L</v>
          </cell>
        </row>
        <row r="207">
          <cell r="A207" t="str">
            <v>A3280170T</v>
          </cell>
          <cell r="B207">
            <v>5103</v>
          </cell>
          <cell r="C207" t="str">
            <v>R</v>
          </cell>
        </row>
        <row r="208">
          <cell r="A208" t="str">
            <v>A3280120T</v>
          </cell>
          <cell r="B208">
            <v>5103</v>
          </cell>
          <cell r="C208" t="str">
            <v>R</v>
          </cell>
        </row>
        <row r="209">
          <cell r="A209" t="str">
            <v>A3280110T</v>
          </cell>
          <cell r="B209">
            <v>5103</v>
          </cell>
          <cell r="C209" t="str">
            <v>R</v>
          </cell>
        </row>
        <row r="210">
          <cell r="A210" t="str">
            <v>A3279810T</v>
          </cell>
          <cell r="B210">
            <v>5098</v>
          </cell>
          <cell r="C210" t="str">
            <v>L</v>
          </cell>
        </row>
        <row r="211">
          <cell r="A211" t="str">
            <v>A3280130T</v>
          </cell>
          <cell r="B211">
            <v>5103</v>
          </cell>
          <cell r="C211" t="str">
            <v>R</v>
          </cell>
        </row>
        <row r="212">
          <cell r="A212" t="str">
            <v>A3280140T</v>
          </cell>
          <cell r="B212">
            <v>5103</v>
          </cell>
          <cell r="C212" t="str">
            <v>R</v>
          </cell>
        </row>
        <row r="213">
          <cell r="A213" t="str">
            <v>A3280180T</v>
          </cell>
          <cell r="B213">
            <v>5103</v>
          </cell>
          <cell r="C213" t="str">
            <v>R</v>
          </cell>
        </row>
        <row r="214">
          <cell r="A214" t="str">
            <v>A3279830T</v>
          </cell>
          <cell r="B214">
            <v>5098</v>
          </cell>
          <cell r="C214" t="str">
            <v>L</v>
          </cell>
        </row>
        <row r="215">
          <cell r="A215" t="str">
            <v>A3279840T</v>
          </cell>
          <cell r="B215">
            <v>5098</v>
          </cell>
          <cell r="C215" t="str">
            <v>L</v>
          </cell>
        </row>
        <row r="216">
          <cell r="A216" t="str">
            <v>A3279880T</v>
          </cell>
          <cell r="B216">
            <v>5098</v>
          </cell>
          <cell r="C216" t="str">
            <v>L</v>
          </cell>
        </row>
        <row r="217">
          <cell r="A217" t="str">
            <v>A3279860T</v>
          </cell>
          <cell r="B217">
            <v>5098</v>
          </cell>
          <cell r="C217" t="str">
            <v>L</v>
          </cell>
        </row>
        <row r="218">
          <cell r="A218" t="str">
            <v>A3279980T</v>
          </cell>
          <cell r="B218">
            <v>5099</v>
          </cell>
          <cell r="C218" t="str">
            <v>R</v>
          </cell>
        </row>
        <row r="219">
          <cell r="A219" t="str">
            <v>A3279820T</v>
          </cell>
          <cell r="B219">
            <v>5098</v>
          </cell>
          <cell r="C219" t="str">
            <v>L</v>
          </cell>
        </row>
        <row r="220">
          <cell r="A220" t="str">
            <v>A3280020T</v>
          </cell>
          <cell r="B220">
            <v>5102</v>
          </cell>
          <cell r="C220" t="str">
            <v>L</v>
          </cell>
        </row>
        <row r="221">
          <cell r="A221" t="str">
            <v>A3279910T</v>
          </cell>
          <cell r="B221">
            <v>5099</v>
          </cell>
          <cell r="C221" t="str">
            <v>R</v>
          </cell>
        </row>
        <row r="222">
          <cell r="A222" t="str">
            <v>A3279930T</v>
          </cell>
          <cell r="B222">
            <v>5099</v>
          </cell>
          <cell r="C222" t="str">
            <v>R</v>
          </cell>
        </row>
        <row r="223">
          <cell r="A223" t="str">
            <v>A3279940T</v>
          </cell>
          <cell r="B223">
            <v>5099</v>
          </cell>
          <cell r="C223" t="str">
            <v>R</v>
          </cell>
        </row>
        <row r="224">
          <cell r="A224" t="str">
            <v>A3280060T</v>
          </cell>
          <cell r="B224">
            <v>5102</v>
          </cell>
          <cell r="C224" t="str">
            <v>L</v>
          </cell>
        </row>
        <row r="225">
          <cell r="A225" t="str">
            <v>A3280160T</v>
          </cell>
          <cell r="B225">
            <v>5103</v>
          </cell>
          <cell r="C225" t="str">
            <v>R</v>
          </cell>
        </row>
        <row r="226">
          <cell r="A226" t="str">
            <v>A3279920T</v>
          </cell>
          <cell r="B226">
            <v>5099</v>
          </cell>
          <cell r="C226" t="str">
            <v>R</v>
          </cell>
        </row>
        <row r="227">
          <cell r="A227" t="str">
            <v>A3279960T</v>
          </cell>
          <cell r="B227">
            <v>5099</v>
          </cell>
          <cell r="C227" t="str">
            <v>R</v>
          </cell>
        </row>
        <row r="228">
          <cell r="A228" t="str">
            <v>A3247490T</v>
          </cell>
          <cell r="B228" t="str">
            <v>黃底漆</v>
          </cell>
          <cell r="C228" t="str">
            <v>0度頭蓋</v>
          </cell>
        </row>
        <row r="229">
          <cell r="A229" t="str">
            <v>A3247430T</v>
          </cell>
          <cell r="B229" t="str">
            <v>黃底漆</v>
          </cell>
          <cell r="C229" t="str">
            <v>0度頭蓋</v>
          </cell>
        </row>
        <row r="230">
          <cell r="A230" t="str">
            <v>A3247410T</v>
          </cell>
          <cell r="B230" t="str">
            <v>黃底漆</v>
          </cell>
          <cell r="C230" t="str">
            <v>0度頭蓋</v>
          </cell>
        </row>
        <row r="231">
          <cell r="A231" t="str">
            <v>A3247470T</v>
          </cell>
          <cell r="B231" t="str">
            <v>黃底漆</v>
          </cell>
          <cell r="C231" t="str">
            <v>0度頭蓋</v>
          </cell>
        </row>
        <row r="232">
          <cell r="A232" t="str">
            <v>A3247430T</v>
          </cell>
          <cell r="B232" t="str">
            <v>黃底漆</v>
          </cell>
          <cell r="C232" t="str">
            <v>0度頭蓋</v>
          </cell>
        </row>
        <row r="233">
          <cell r="A233" t="str">
            <v>A3247420T</v>
          </cell>
          <cell r="B233" t="str">
            <v>黃底漆</v>
          </cell>
          <cell r="C233" t="str">
            <v>0度頭蓋</v>
          </cell>
        </row>
        <row r="234">
          <cell r="A234" t="str">
            <v>A32474M0T</v>
          </cell>
          <cell r="B234" t="str">
            <v>黃底漆</v>
          </cell>
          <cell r="C234" t="str">
            <v>0度頭蓋</v>
          </cell>
        </row>
        <row r="235">
          <cell r="A235" t="str">
            <v>A32435B0T</v>
          </cell>
          <cell r="B235" t="str">
            <v>新金油</v>
          </cell>
        </row>
        <row r="236">
          <cell r="A236" t="str">
            <v>A32250H1T</v>
          </cell>
          <cell r="B236" t="str">
            <v>新金油</v>
          </cell>
        </row>
        <row r="237">
          <cell r="A237" t="str">
            <v>A3247460T</v>
          </cell>
          <cell r="B237" t="str">
            <v>黃底漆</v>
          </cell>
          <cell r="C237" t="str">
            <v>0度頭蓋</v>
          </cell>
        </row>
        <row r="238">
          <cell r="A238" t="str">
            <v>A3247450T</v>
          </cell>
          <cell r="B238" t="str">
            <v>黃底漆</v>
          </cell>
          <cell r="C238" t="str">
            <v>0度頭蓋</v>
          </cell>
        </row>
        <row r="239">
          <cell r="A239" t="str">
            <v>A32217W0T</v>
          </cell>
          <cell r="B239" t="str">
            <v>黃底漆</v>
          </cell>
          <cell r="C239" t="str">
            <v>0度頭蓋</v>
          </cell>
        </row>
        <row r="240">
          <cell r="A240" t="str">
            <v>A3279870T</v>
          </cell>
          <cell r="B240">
            <v>5098</v>
          </cell>
          <cell r="C240" t="str">
            <v>L</v>
          </cell>
        </row>
        <row r="241">
          <cell r="A241" t="str">
            <v>A3279970T</v>
          </cell>
          <cell r="B241">
            <v>5099</v>
          </cell>
          <cell r="C241" t="str">
            <v>R</v>
          </cell>
        </row>
        <row r="242">
          <cell r="A242" t="str">
            <v>A32250J1T</v>
          </cell>
          <cell r="B242" t="str">
            <v>新金油</v>
          </cell>
        </row>
        <row r="243">
          <cell r="A243" t="str">
            <v>A32250K1T</v>
          </cell>
          <cell r="B243" t="str">
            <v>新金油</v>
          </cell>
        </row>
        <row r="244">
          <cell r="A244" t="str">
            <v>A32520F0T</v>
          </cell>
          <cell r="B244" t="str">
            <v>8844*4+金屬底</v>
          </cell>
          <cell r="C244" t="str">
            <v>16度頭蓋</v>
          </cell>
        </row>
        <row r="245">
          <cell r="A245" t="str">
            <v>A3280710T</v>
          </cell>
          <cell r="B245">
            <v>5001</v>
          </cell>
          <cell r="C245" t="str">
            <v>L</v>
          </cell>
        </row>
        <row r="246">
          <cell r="A246" t="str">
            <v>A3280810T</v>
          </cell>
          <cell r="B246">
            <v>5002</v>
          </cell>
          <cell r="C246" t="str">
            <v>R</v>
          </cell>
        </row>
        <row r="247">
          <cell r="A247" t="str">
            <v>A3280980T</v>
          </cell>
          <cell r="B247">
            <v>5007</v>
          </cell>
          <cell r="C247" t="str">
            <v>L</v>
          </cell>
        </row>
        <row r="248">
          <cell r="A248" t="str">
            <v>A3281080T</v>
          </cell>
          <cell r="B248">
            <v>5096</v>
          </cell>
          <cell r="C248" t="str">
            <v>R</v>
          </cell>
        </row>
        <row r="249">
          <cell r="A249" t="str">
            <v>A30047W0T</v>
          </cell>
          <cell r="B249" t="str">
            <v>新金油</v>
          </cell>
        </row>
        <row r="250">
          <cell r="A250" t="str">
            <v>A3281280T</v>
          </cell>
          <cell r="B250">
            <v>5004</v>
          </cell>
          <cell r="C250" t="str">
            <v>R</v>
          </cell>
        </row>
        <row r="251">
          <cell r="A251" t="str">
            <v>A3281180T</v>
          </cell>
          <cell r="B251">
            <v>5003</v>
          </cell>
          <cell r="C251" t="str">
            <v>L</v>
          </cell>
        </row>
        <row r="252">
          <cell r="A252" t="str">
            <v>A30047B1T</v>
          </cell>
          <cell r="B252" t="str">
            <v>新金油</v>
          </cell>
        </row>
        <row r="253">
          <cell r="A253" t="str">
            <v>A30007D3T</v>
          </cell>
          <cell r="B253" t="str">
            <v>新金油</v>
          </cell>
        </row>
        <row r="254">
          <cell r="A254" t="str">
            <v>A3297310T</v>
          </cell>
          <cell r="B254" t="str">
            <v>新金油</v>
          </cell>
        </row>
        <row r="255">
          <cell r="A255" t="str">
            <v>A3297420T</v>
          </cell>
          <cell r="B255" t="str">
            <v>新金油</v>
          </cell>
        </row>
        <row r="256">
          <cell r="A256" t="str">
            <v>A30041W0T</v>
          </cell>
          <cell r="B256" t="str">
            <v>新金油</v>
          </cell>
        </row>
        <row r="257">
          <cell r="A257" t="str">
            <v>A30041V0T</v>
          </cell>
          <cell r="B257" t="str">
            <v>新金油</v>
          </cell>
        </row>
        <row r="258">
          <cell r="A258" t="str">
            <v>A30043R0T</v>
          </cell>
          <cell r="B258" t="str">
            <v>新金油</v>
          </cell>
        </row>
        <row r="259">
          <cell r="A259" t="str">
            <v>A30043Q0T</v>
          </cell>
          <cell r="B259" t="str">
            <v>新金油</v>
          </cell>
        </row>
        <row r="260">
          <cell r="A260" t="str">
            <v>A32435F0T</v>
          </cell>
          <cell r="B260" t="str">
            <v>新金油</v>
          </cell>
        </row>
        <row r="261">
          <cell r="A261" t="str">
            <v>A32592S0T</v>
          </cell>
          <cell r="B261" t="str">
            <v>只噴金屬底</v>
          </cell>
        </row>
        <row r="262">
          <cell r="A262" t="str">
            <v>A32474F0T</v>
          </cell>
          <cell r="B262" t="str">
            <v>黃底漆</v>
          </cell>
          <cell r="C262" t="str">
            <v>0度頭蓋</v>
          </cell>
        </row>
        <row r="263">
          <cell r="A263" t="str">
            <v>A3297330T</v>
          </cell>
          <cell r="B263" t="str">
            <v>新金油</v>
          </cell>
        </row>
        <row r="264">
          <cell r="A264" t="str">
            <v>A3297380T</v>
          </cell>
          <cell r="B264" t="str">
            <v>新金油</v>
          </cell>
        </row>
        <row r="265">
          <cell r="A265" t="str">
            <v>A3297440T</v>
          </cell>
          <cell r="B265" t="str">
            <v>新金油</v>
          </cell>
        </row>
        <row r="266">
          <cell r="A266" t="str">
            <v>A3297490T</v>
          </cell>
          <cell r="B266" t="str">
            <v>新金油</v>
          </cell>
        </row>
        <row r="267">
          <cell r="A267" t="str">
            <v>A32250F1T</v>
          </cell>
          <cell r="B267" t="str">
            <v>新金油</v>
          </cell>
        </row>
        <row r="268">
          <cell r="A268" t="str">
            <v>A32250G1T</v>
          </cell>
          <cell r="B268" t="str">
            <v>新金油</v>
          </cell>
        </row>
        <row r="269">
          <cell r="A269" t="str">
            <v>A32798A0T</v>
          </cell>
          <cell r="B269">
            <v>5098</v>
          </cell>
          <cell r="C269" t="str">
            <v>L</v>
          </cell>
        </row>
        <row r="270">
          <cell r="A270" t="str">
            <v>A32799A0T</v>
          </cell>
          <cell r="B270">
            <v>5099</v>
          </cell>
          <cell r="C270" t="str">
            <v>R</v>
          </cell>
        </row>
        <row r="271">
          <cell r="A271" t="str">
            <v>A32800A0T</v>
          </cell>
          <cell r="B271">
            <v>5102</v>
          </cell>
          <cell r="C271" t="str">
            <v>L</v>
          </cell>
        </row>
        <row r="272">
          <cell r="A272" t="str">
            <v>A32801A0T</v>
          </cell>
          <cell r="B272">
            <v>5103</v>
          </cell>
          <cell r="C272" t="str">
            <v>R</v>
          </cell>
        </row>
        <row r="273">
          <cell r="A273" t="str">
            <v>A3299710T</v>
          </cell>
          <cell r="B273" t="str">
            <v>5337-頭蓋</v>
          </cell>
        </row>
        <row r="274">
          <cell r="A274" t="str">
            <v>A3299810T</v>
          </cell>
          <cell r="B274" t="str">
            <v>5338-頭蓋</v>
          </cell>
        </row>
        <row r="275">
          <cell r="A275" t="str">
            <v>A3297910T</v>
          </cell>
          <cell r="B275">
            <v>5222</v>
          </cell>
          <cell r="C275" t="str">
            <v>NA</v>
          </cell>
        </row>
        <row r="276">
          <cell r="A276" t="str">
            <v>A3297920T</v>
          </cell>
          <cell r="B276">
            <v>5222</v>
          </cell>
          <cell r="C276" t="str">
            <v>NA</v>
          </cell>
        </row>
        <row r="277">
          <cell r="A277" t="str">
            <v>A3297960T</v>
          </cell>
          <cell r="B277">
            <v>5222</v>
          </cell>
          <cell r="C277" t="str">
            <v>NA</v>
          </cell>
        </row>
        <row r="278">
          <cell r="A278" t="str">
            <v>A3297940T</v>
          </cell>
          <cell r="B278">
            <v>5222</v>
          </cell>
          <cell r="C278" t="str">
            <v>NA</v>
          </cell>
        </row>
        <row r="279">
          <cell r="A279" t="str">
            <v>A3297980T</v>
          </cell>
          <cell r="B279" t="str">
            <v>5222、8844</v>
          </cell>
          <cell r="C279" t="str">
            <v>NA</v>
          </cell>
        </row>
        <row r="280">
          <cell r="A280" t="str">
            <v>A3297930T</v>
          </cell>
          <cell r="B280">
            <v>5222</v>
          </cell>
          <cell r="C280" t="str">
            <v>NA</v>
          </cell>
        </row>
        <row r="281">
          <cell r="A281" t="str">
            <v>A3297950T</v>
          </cell>
          <cell r="B281">
            <v>5222</v>
          </cell>
          <cell r="C281" t="str">
            <v>NA</v>
          </cell>
        </row>
        <row r="282">
          <cell r="A282" t="str">
            <v>A3297970T</v>
          </cell>
          <cell r="B282">
            <v>5222</v>
          </cell>
          <cell r="C282" t="str">
            <v>NA</v>
          </cell>
        </row>
        <row r="283">
          <cell r="A283" t="str">
            <v>A3297710T</v>
          </cell>
          <cell r="B283">
            <v>5223</v>
          </cell>
          <cell r="C283" t="str">
            <v>NA</v>
          </cell>
        </row>
        <row r="284">
          <cell r="A284" t="str">
            <v>A3297720T</v>
          </cell>
          <cell r="B284">
            <v>5223</v>
          </cell>
          <cell r="C284" t="str">
            <v>NA</v>
          </cell>
        </row>
        <row r="285">
          <cell r="A285" t="str">
            <v>A3297740T</v>
          </cell>
          <cell r="B285">
            <v>5223</v>
          </cell>
          <cell r="C285" t="str">
            <v>NA</v>
          </cell>
        </row>
        <row r="286">
          <cell r="A286" t="str">
            <v>A3297780T</v>
          </cell>
          <cell r="B286" t="str">
            <v>5223、8844</v>
          </cell>
          <cell r="C286" t="str">
            <v>NA</v>
          </cell>
        </row>
        <row r="287">
          <cell r="A287" t="str">
            <v>A3297730T</v>
          </cell>
          <cell r="B287">
            <v>5223</v>
          </cell>
          <cell r="C287" t="str">
            <v>NA</v>
          </cell>
        </row>
        <row r="288">
          <cell r="A288" t="str">
            <v>A3297770T</v>
          </cell>
          <cell r="B288">
            <v>5223</v>
          </cell>
          <cell r="C288" t="str">
            <v>NA</v>
          </cell>
        </row>
        <row r="289">
          <cell r="A289" t="str">
            <v>A3297810T</v>
          </cell>
          <cell r="B289">
            <v>5224</v>
          </cell>
          <cell r="C289" t="str">
            <v>NA</v>
          </cell>
        </row>
        <row r="290">
          <cell r="A290" t="str">
            <v>A3297820T</v>
          </cell>
          <cell r="B290">
            <v>5224</v>
          </cell>
          <cell r="C290" t="str">
            <v>NA</v>
          </cell>
        </row>
        <row r="291">
          <cell r="A291" t="str">
            <v>A3297840T</v>
          </cell>
          <cell r="B291">
            <v>5224</v>
          </cell>
          <cell r="C291" t="str">
            <v>NA</v>
          </cell>
        </row>
        <row r="292">
          <cell r="A292" t="str">
            <v>A3297880T</v>
          </cell>
          <cell r="B292" t="str">
            <v>5224、8844</v>
          </cell>
          <cell r="C292" t="str">
            <v>NA</v>
          </cell>
        </row>
        <row r="293">
          <cell r="A293" t="str">
            <v>A3297830T</v>
          </cell>
          <cell r="B293">
            <v>5224</v>
          </cell>
          <cell r="C293" t="str">
            <v>NA</v>
          </cell>
        </row>
        <row r="294">
          <cell r="A294" t="str">
            <v>A3297870T</v>
          </cell>
          <cell r="B294">
            <v>5224</v>
          </cell>
          <cell r="C294" t="str">
            <v>NA</v>
          </cell>
        </row>
        <row r="295">
          <cell r="A295" t="str">
            <v>A3297510T</v>
          </cell>
          <cell r="B295">
            <v>5225</v>
          </cell>
          <cell r="C295" t="str">
            <v>R</v>
          </cell>
        </row>
        <row r="296">
          <cell r="A296" t="str">
            <v>A3297520T</v>
          </cell>
          <cell r="B296">
            <v>5225</v>
          </cell>
          <cell r="C296" t="str">
            <v>R</v>
          </cell>
        </row>
        <row r="297">
          <cell r="A297" t="str">
            <v>A3297540T</v>
          </cell>
          <cell r="B297">
            <v>5225</v>
          </cell>
          <cell r="C297" t="str">
            <v>R</v>
          </cell>
        </row>
        <row r="298">
          <cell r="A298" t="str">
            <v>A3297580T</v>
          </cell>
          <cell r="B298" t="str">
            <v>5225、8844</v>
          </cell>
          <cell r="C298" t="str">
            <v>R</v>
          </cell>
        </row>
        <row r="299">
          <cell r="A299" t="str">
            <v>A3297530T</v>
          </cell>
          <cell r="B299">
            <v>5225</v>
          </cell>
          <cell r="C299" t="str">
            <v>R</v>
          </cell>
        </row>
        <row r="300">
          <cell r="A300" t="str">
            <v>A3297570T</v>
          </cell>
          <cell r="B300">
            <v>5225</v>
          </cell>
          <cell r="C300" t="str">
            <v>R</v>
          </cell>
        </row>
        <row r="301">
          <cell r="A301" t="str">
            <v>A3297610T</v>
          </cell>
          <cell r="B301">
            <v>5226</v>
          </cell>
          <cell r="C301" t="str">
            <v>L</v>
          </cell>
        </row>
        <row r="302">
          <cell r="A302" t="str">
            <v>A3297620T</v>
          </cell>
          <cell r="B302">
            <v>5226</v>
          </cell>
          <cell r="C302" t="str">
            <v>L</v>
          </cell>
        </row>
        <row r="303">
          <cell r="A303" t="str">
            <v>A3297640T</v>
          </cell>
          <cell r="B303">
            <v>5226</v>
          </cell>
          <cell r="C303" t="str">
            <v>L</v>
          </cell>
        </row>
        <row r="304">
          <cell r="A304" t="str">
            <v>A3297680T</v>
          </cell>
          <cell r="B304" t="str">
            <v>5226、8844</v>
          </cell>
          <cell r="C304" t="str">
            <v>L</v>
          </cell>
        </row>
        <row r="305">
          <cell r="A305" t="str">
            <v>A3297630T</v>
          </cell>
          <cell r="B305">
            <v>5226</v>
          </cell>
          <cell r="C305" t="str">
            <v>L</v>
          </cell>
        </row>
        <row r="306">
          <cell r="A306" t="str">
            <v>A3297670T</v>
          </cell>
          <cell r="B306">
            <v>5226</v>
          </cell>
          <cell r="C306" t="str">
            <v>L</v>
          </cell>
        </row>
        <row r="307">
          <cell r="A307" t="str">
            <v>A3298010T</v>
          </cell>
          <cell r="B307">
            <v>5227</v>
          </cell>
          <cell r="C307" t="str">
            <v>NA</v>
          </cell>
        </row>
        <row r="308">
          <cell r="A308" t="str">
            <v>A3298020T</v>
          </cell>
          <cell r="B308">
            <v>5227</v>
          </cell>
          <cell r="C308" t="str">
            <v>NA</v>
          </cell>
        </row>
        <row r="309">
          <cell r="A309" t="str">
            <v>A3298060T</v>
          </cell>
          <cell r="B309">
            <v>5227</v>
          </cell>
          <cell r="C309" t="str">
            <v>NA</v>
          </cell>
        </row>
        <row r="310">
          <cell r="A310" t="str">
            <v>A3298040T</v>
          </cell>
          <cell r="B310">
            <v>5227</v>
          </cell>
          <cell r="C310" t="str">
            <v>NA</v>
          </cell>
        </row>
        <row r="311">
          <cell r="A311" t="str">
            <v>A3298080T</v>
          </cell>
          <cell r="B311" t="str">
            <v>5227、8844</v>
          </cell>
          <cell r="C311" t="str">
            <v>NA</v>
          </cell>
        </row>
        <row r="312">
          <cell r="A312" t="str">
            <v>A3298030T</v>
          </cell>
          <cell r="B312">
            <v>5227</v>
          </cell>
          <cell r="C312" t="str">
            <v>NA</v>
          </cell>
        </row>
        <row r="313">
          <cell r="A313" t="str">
            <v>A3298050T</v>
          </cell>
          <cell r="B313">
            <v>5227</v>
          </cell>
          <cell r="C313" t="str">
            <v>NA</v>
          </cell>
        </row>
        <row r="314">
          <cell r="A314" t="str">
            <v>A3298070T</v>
          </cell>
          <cell r="B314">
            <v>5227</v>
          </cell>
          <cell r="C314" t="str">
            <v>NA</v>
          </cell>
        </row>
        <row r="315">
          <cell r="A315" t="str">
            <v>A3298110T</v>
          </cell>
          <cell r="B315">
            <v>5228</v>
          </cell>
          <cell r="C315" t="str">
            <v>NA</v>
          </cell>
        </row>
        <row r="316">
          <cell r="A316" t="str">
            <v>A3298120T</v>
          </cell>
          <cell r="B316">
            <v>5228</v>
          </cell>
          <cell r="C316" t="str">
            <v>NA</v>
          </cell>
        </row>
        <row r="317">
          <cell r="A317" t="str">
            <v>A3298160T</v>
          </cell>
          <cell r="B317">
            <v>5228</v>
          </cell>
          <cell r="C317" t="str">
            <v>NA</v>
          </cell>
        </row>
        <row r="318">
          <cell r="A318" t="str">
            <v>A3298140T</v>
          </cell>
          <cell r="B318">
            <v>5228</v>
          </cell>
          <cell r="C318" t="str">
            <v>NA</v>
          </cell>
        </row>
        <row r="319">
          <cell r="A319" t="str">
            <v>A3298180T</v>
          </cell>
          <cell r="B319" t="str">
            <v>5228、8844</v>
          </cell>
          <cell r="C319" t="str">
            <v>NA</v>
          </cell>
        </row>
        <row r="320">
          <cell r="A320" t="str">
            <v>A3298130T</v>
          </cell>
          <cell r="B320">
            <v>5228</v>
          </cell>
          <cell r="C320" t="str">
            <v>NA</v>
          </cell>
        </row>
        <row r="321">
          <cell r="A321" t="str">
            <v>A3298150T</v>
          </cell>
          <cell r="B321">
            <v>5228</v>
          </cell>
          <cell r="C321" t="str">
            <v>NA</v>
          </cell>
        </row>
        <row r="322">
          <cell r="A322" t="str">
            <v>A3298170T</v>
          </cell>
          <cell r="B322">
            <v>5228</v>
          </cell>
          <cell r="C322" t="str">
            <v>NA</v>
          </cell>
        </row>
        <row r="323">
          <cell r="A323" t="str">
            <v>A3298910T</v>
          </cell>
          <cell r="B323">
            <v>5315</v>
          </cell>
          <cell r="C323" t="str">
            <v>L</v>
          </cell>
        </row>
        <row r="324">
          <cell r="A324" t="str">
            <v>A3299010T</v>
          </cell>
          <cell r="B324">
            <v>5316</v>
          </cell>
          <cell r="C324" t="str">
            <v>R</v>
          </cell>
        </row>
        <row r="325">
          <cell r="A325" t="str">
            <v>A3299140T</v>
          </cell>
          <cell r="B325">
            <v>5317</v>
          </cell>
          <cell r="C325" t="str">
            <v>L</v>
          </cell>
        </row>
        <row r="326">
          <cell r="A326" t="str">
            <v>A3299240T</v>
          </cell>
          <cell r="B326">
            <v>5318</v>
          </cell>
          <cell r="C326" t="str">
            <v>R</v>
          </cell>
        </row>
        <row r="327">
          <cell r="A327" t="str">
            <v>A3297550T</v>
          </cell>
          <cell r="B327">
            <v>5225</v>
          </cell>
          <cell r="C327" t="str">
            <v>R</v>
          </cell>
        </row>
        <row r="328">
          <cell r="A328" t="str">
            <v>A3297560T</v>
          </cell>
          <cell r="B328">
            <v>5225</v>
          </cell>
          <cell r="C328" t="str">
            <v>R</v>
          </cell>
        </row>
        <row r="329">
          <cell r="A329" t="str">
            <v>A3297650T</v>
          </cell>
          <cell r="B329">
            <v>5226</v>
          </cell>
          <cell r="C329" t="str">
            <v>L</v>
          </cell>
        </row>
        <row r="330">
          <cell r="A330" t="str">
            <v>A3297660T</v>
          </cell>
          <cell r="B330">
            <v>5226</v>
          </cell>
          <cell r="C330" t="str">
            <v>L</v>
          </cell>
        </row>
        <row r="331">
          <cell r="A331" t="str">
            <v>A3297750T</v>
          </cell>
          <cell r="B331">
            <v>5223</v>
          </cell>
          <cell r="C331" t="str">
            <v>NA</v>
          </cell>
        </row>
        <row r="332">
          <cell r="A332" t="str">
            <v>A3297760T</v>
          </cell>
          <cell r="B332">
            <v>5223</v>
          </cell>
          <cell r="C332" t="str">
            <v>NA</v>
          </cell>
        </row>
        <row r="333">
          <cell r="A333" t="str">
            <v>A3297850T</v>
          </cell>
          <cell r="B333">
            <v>5224</v>
          </cell>
          <cell r="C333" t="str">
            <v>NA</v>
          </cell>
        </row>
        <row r="334">
          <cell r="A334" t="str">
            <v>A3297860T</v>
          </cell>
          <cell r="B334">
            <v>5224</v>
          </cell>
          <cell r="C334" t="str">
            <v>NA</v>
          </cell>
        </row>
        <row r="335">
          <cell r="A335" t="str">
            <v>A32663A0T</v>
          </cell>
          <cell r="B335">
            <v>4825</v>
          </cell>
          <cell r="C335" t="str">
            <v>L</v>
          </cell>
        </row>
        <row r="336">
          <cell r="A336" t="str">
            <v>A32664A0T</v>
          </cell>
          <cell r="B336">
            <v>4826</v>
          </cell>
          <cell r="C336" t="str">
            <v>R</v>
          </cell>
        </row>
        <row r="337">
          <cell r="A337" t="str">
            <v>A3266390T</v>
          </cell>
          <cell r="B337">
            <v>4825</v>
          </cell>
          <cell r="C337" t="str">
            <v>L</v>
          </cell>
        </row>
        <row r="338">
          <cell r="A338" t="str">
            <v>A3266490T</v>
          </cell>
          <cell r="B338">
            <v>4826</v>
          </cell>
          <cell r="C338" t="str">
            <v>R</v>
          </cell>
        </row>
        <row r="339">
          <cell r="A339" t="str">
            <v>A3266370T</v>
          </cell>
          <cell r="B339">
            <v>4825</v>
          </cell>
          <cell r="C339" t="str">
            <v>L</v>
          </cell>
        </row>
        <row r="340">
          <cell r="A340" t="str">
            <v>A3266470T</v>
          </cell>
          <cell r="B340">
            <v>4826</v>
          </cell>
          <cell r="C340" t="str">
            <v>R</v>
          </cell>
        </row>
        <row r="341">
          <cell r="A341" t="str">
            <v>A3297460T</v>
          </cell>
          <cell r="B341" t="str">
            <v>新金油</v>
          </cell>
        </row>
        <row r="342">
          <cell r="A342" t="str">
            <v>A3266380T</v>
          </cell>
          <cell r="B342">
            <v>4825</v>
          </cell>
          <cell r="C342" t="str">
            <v>L</v>
          </cell>
        </row>
        <row r="343">
          <cell r="A343" t="str">
            <v>A3266480T</v>
          </cell>
          <cell r="B343">
            <v>4826</v>
          </cell>
          <cell r="C343" t="str">
            <v>R</v>
          </cell>
        </row>
        <row r="344">
          <cell r="A344" t="str">
            <v>A3266390T</v>
          </cell>
          <cell r="B344">
            <v>4825</v>
          </cell>
          <cell r="C344" t="str">
            <v>L</v>
          </cell>
        </row>
        <row r="345">
          <cell r="A345" t="str">
            <v>A3266490T</v>
          </cell>
          <cell r="B345">
            <v>4826</v>
          </cell>
          <cell r="C345" t="str">
            <v>R</v>
          </cell>
        </row>
        <row r="346">
          <cell r="A346" t="str">
            <v>A3299180T</v>
          </cell>
          <cell r="B346" t="str">
            <v>5317+8844</v>
          </cell>
          <cell r="C346" t="str">
            <v>L</v>
          </cell>
        </row>
        <row r="347">
          <cell r="A347" t="str">
            <v>A3299160T</v>
          </cell>
          <cell r="B347">
            <v>5317</v>
          </cell>
          <cell r="C347" t="str">
            <v>L</v>
          </cell>
        </row>
        <row r="348">
          <cell r="A348" t="str">
            <v>A3299150T</v>
          </cell>
          <cell r="B348">
            <v>5317</v>
          </cell>
          <cell r="C348" t="str">
            <v>L</v>
          </cell>
        </row>
        <row r="349">
          <cell r="A349" t="str">
            <v>A3299170T</v>
          </cell>
          <cell r="B349">
            <v>5317</v>
          </cell>
          <cell r="C349" t="str">
            <v>L</v>
          </cell>
        </row>
        <row r="350">
          <cell r="A350" t="str">
            <v>A3299120T</v>
          </cell>
          <cell r="B350">
            <v>5317</v>
          </cell>
          <cell r="C350" t="str">
            <v>L</v>
          </cell>
        </row>
        <row r="351">
          <cell r="A351" t="str">
            <v>A3299130T</v>
          </cell>
          <cell r="B351">
            <v>5317</v>
          </cell>
          <cell r="C351" t="str">
            <v>L</v>
          </cell>
        </row>
        <row r="352">
          <cell r="A352" t="str">
            <v>A3299250T</v>
          </cell>
          <cell r="B352">
            <v>5318</v>
          </cell>
          <cell r="C352" t="str">
            <v>R</v>
          </cell>
        </row>
        <row r="353">
          <cell r="A353" t="str">
            <v>A3299280T</v>
          </cell>
          <cell r="B353" t="str">
            <v>5318+8844</v>
          </cell>
          <cell r="C353" t="str">
            <v>R</v>
          </cell>
        </row>
        <row r="354">
          <cell r="A354" t="str">
            <v>A3299260T</v>
          </cell>
          <cell r="B354">
            <v>5318</v>
          </cell>
          <cell r="C354" t="str">
            <v>R</v>
          </cell>
        </row>
        <row r="355">
          <cell r="A355" t="str">
            <v>A3299270T</v>
          </cell>
          <cell r="B355">
            <v>5318</v>
          </cell>
          <cell r="C355" t="str">
            <v>R</v>
          </cell>
        </row>
        <row r="356">
          <cell r="A356" t="str">
            <v>A3299220T</v>
          </cell>
          <cell r="B356">
            <v>5318</v>
          </cell>
          <cell r="C356" t="str">
            <v>R</v>
          </cell>
        </row>
        <row r="357">
          <cell r="A357" t="str">
            <v>A3299230T</v>
          </cell>
          <cell r="B357">
            <v>5318</v>
          </cell>
          <cell r="C357" t="str">
            <v>R</v>
          </cell>
        </row>
        <row r="358">
          <cell r="A358" t="str">
            <v>A32474H0T</v>
          </cell>
          <cell r="B358" t="str">
            <v>黃底漆</v>
          </cell>
          <cell r="C358" t="str">
            <v>0度頭蓋</v>
          </cell>
        </row>
        <row r="359">
          <cell r="A359" t="str">
            <v>A32474P0T</v>
          </cell>
          <cell r="B359" t="str">
            <v>黃底漆</v>
          </cell>
          <cell r="C359" t="str">
            <v>0度頭蓋</v>
          </cell>
        </row>
        <row r="360">
          <cell r="A360" t="str">
            <v>A3004110T</v>
          </cell>
          <cell r="B360" t="str">
            <v>新金油</v>
          </cell>
        </row>
        <row r="361">
          <cell r="A361" t="str">
            <v>A32474N0T</v>
          </cell>
          <cell r="B361" t="str">
            <v>黃底漆</v>
          </cell>
          <cell r="C361" t="str">
            <v>0度頭蓋</v>
          </cell>
        </row>
        <row r="362">
          <cell r="A362" t="str">
            <v>A3299110T</v>
          </cell>
          <cell r="B362">
            <v>5317</v>
          </cell>
          <cell r="C362" t="str">
            <v>L</v>
          </cell>
        </row>
        <row r="363">
          <cell r="A363" t="str">
            <v>A3299210T</v>
          </cell>
          <cell r="B363">
            <v>5318</v>
          </cell>
          <cell r="C363" t="str">
            <v>R</v>
          </cell>
        </row>
        <row r="364">
          <cell r="A364" t="str">
            <v>A3298920T</v>
          </cell>
          <cell r="B364">
            <v>5315</v>
          </cell>
          <cell r="C364" t="str">
            <v>L</v>
          </cell>
        </row>
        <row r="365">
          <cell r="A365" t="str">
            <v>A3299020T</v>
          </cell>
          <cell r="B365">
            <v>5316</v>
          </cell>
          <cell r="C365" t="str">
            <v>R</v>
          </cell>
        </row>
        <row r="366">
          <cell r="A366" t="str">
            <v>A32217Y0T</v>
          </cell>
          <cell r="B366" t="str">
            <v>新金油</v>
          </cell>
          <cell r="C366" t="str">
            <v>0度頭蓋</v>
          </cell>
        </row>
        <row r="367">
          <cell r="A367" t="str">
            <v>A32217Z0T</v>
          </cell>
          <cell r="B367" t="str">
            <v>新金油</v>
          </cell>
          <cell r="C367" t="str">
            <v>0度頭蓋</v>
          </cell>
        </row>
        <row r="368">
          <cell r="A368" t="str">
            <v>A3221711T</v>
          </cell>
          <cell r="B368" t="str">
            <v>新金油</v>
          </cell>
          <cell r="C368" t="str">
            <v>0度頭蓋</v>
          </cell>
        </row>
        <row r="369">
          <cell r="A369" t="str">
            <v>A32250M1T</v>
          </cell>
          <cell r="B369" t="str">
            <v>新金油</v>
          </cell>
        </row>
        <row r="370">
          <cell r="A370" t="str">
            <v>A3221701T</v>
          </cell>
          <cell r="B370" t="str">
            <v>新金油</v>
          </cell>
          <cell r="C370" t="str">
            <v>0度頭蓋</v>
          </cell>
        </row>
        <row r="371">
          <cell r="A371" t="str">
            <v>A3299190T</v>
          </cell>
          <cell r="B371">
            <v>5317</v>
          </cell>
          <cell r="C371" t="str">
            <v>L</v>
          </cell>
        </row>
        <row r="372">
          <cell r="A372" t="str">
            <v>A3299290T</v>
          </cell>
          <cell r="B372">
            <v>5318</v>
          </cell>
          <cell r="C372" t="str">
            <v>R</v>
          </cell>
        </row>
        <row r="373">
          <cell r="A373" t="str">
            <v>A32991A0T</v>
          </cell>
          <cell r="B373" t="str">
            <v>5317、不噴金油</v>
          </cell>
          <cell r="C373" t="str">
            <v>L</v>
          </cell>
        </row>
        <row r="374">
          <cell r="A374" t="str">
            <v>A32992A0T</v>
          </cell>
          <cell r="B374" t="str">
            <v>5318、不噴金油</v>
          </cell>
          <cell r="C374" t="str">
            <v>R</v>
          </cell>
        </row>
        <row r="375">
          <cell r="A375" t="str">
            <v>A3297470T</v>
          </cell>
          <cell r="B375" t="str">
            <v>新金油</v>
          </cell>
        </row>
        <row r="376">
          <cell r="A376" t="str">
            <v>A3297370T</v>
          </cell>
          <cell r="B376" t="str">
            <v>有色金油</v>
          </cell>
        </row>
        <row r="377">
          <cell r="A377" t="str">
            <v>A3297360T</v>
          </cell>
          <cell r="B377" t="str">
            <v>新金油</v>
          </cell>
        </row>
        <row r="378">
          <cell r="A378" t="str">
            <v>A3297480T</v>
          </cell>
          <cell r="B378" t="str">
            <v>有色金油</v>
          </cell>
        </row>
        <row r="379">
          <cell r="A379" t="str">
            <v>A3214490T</v>
          </cell>
          <cell r="B379" t="str">
            <v>替代色WRS</v>
          </cell>
        </row>
        <row r="380">
          <cell r="A380" t="str">
            <v>A3221190T</v>
          </cell>
          <cell r="B380" t="str">
            <v>替代色WRS</v>
          </cell>
        </row>
        <row r="381">
          <cell r="A381" t="str">
            <v>A3214430T</v>
          </cell>
          <cell r="B381" t="str">
            <v>共用4PW</v>
          </cell>
        </row>
        <row r="382">
          <cell r="A382" t="str">
            <v>A3321610T</v>
          </cell>
          <cell r="B382" t="str">
            <v>5352-新款貼遮噴貼紙</v>
          </cell>
          <cell r="C382" t="str">
            <v>L</v>
          </cell>
        </row>
        <row r="383">
          <cell r="A383" t="str">
            <v>A3321710T</v>
          </cell>
          <cell r="B383" t="str">
            <v>5351-新款貼遮噴貼紙</v>
          </cell>
          <cell r="C383" t="str">
            <v>R</v>
          </cell>
        </row>
        <row r="384">
          <cell r="A384" t="str">
            <v>A3321810T</v>
          </cell>
          <cell r="B384" t="str">
            <v>5356-新款貼遮噴貼紙</v>
          </cell>
          <cell r="C384" t="str">
            <v>L</v>
          </cell>
        </row>
        <row r="385">
          <cell r="A385" t="str">
            <v>A3321910T</v>
          </cell>
          <cell r="B385" t="str">
            <v>5355-新款貼遮噴貼紙</v>
          </cell>
          <cell r="C385" t="str">
            <v>R</v>
          </cell>
        </row>
        <row r="386">
          <cell r="A386" t="str">
            <v>A3322010T</v>
          </cell>
          <cell r="B386" t="str">
            <v>5358-頭蓋鐳雕</v>
          </cell>
          <cell r="C386" t="str">
            <v>L</v>
          </cell>
        </row>
        <row r="387">
          <cell r="A387" t="str">
            <v>A3322110T</v>
          </cell>
          <cell r="B387" t="str">
            <v>5357-頭蓋鐳雕</v>
          </cell>
          <cell r="C387" t="str">
            <v>R</v>
          </cell>
        </row>
        <row r="388">
          <cell r="A388" t="str">
            <v>A32685C0T</v>
          </cell>
          <cell r="B388">
            <v>4852</v>
          </cell>
          <cell r="C388" t="str">
            <v>R</v>
          </cell>
        </row>
        <row r="389">
          <cell r="A389" t="str">
            <v>A32686C0T</v>
          </cell>
          <cell r="B389">
            <v>4853</v>
          </cell>
          <cell r="C389" t="str">
            <v>L</v>
          </cell>
        </row>
        <row r="390">
          <cell r="A390" t="str">
            <v>A3271370T</v>
          </cell>
          <cell r="B390">
            <v>4818</v>
          </cell>
          <cell r="C390" t="str">
            <v>L</v>
          </cell>
        </row>
        <row r="391">
          <cell r="A391" t="str">
            <v>A32713A0T</v>
          </cell>
          <cell r="B391">
            <v>4818</v>
          </cell>
          <cell r="C391" t="str">
            <v>L</v>
          </cell>
        </row>
        <row r="392">
          <cell r="A392" t="str">
            <v>A32713B0T</v>
          </cell>
          <cell r="B392">
            <v>4818</v>
          </cell>
          <cell r="C392" t="str">
            <v>L</v>
          </cell>
        </row>
        <row r="393">
          <cell r="A393" t="str">
            <v>A32713C0T</v>
          </cell>
          <cell r="B393">
            <v>4818</v>
          </cell>
          <cell r="C393" t="str">
            <v>L</v>
          </cell>
        </row>
        <row r="394">
          <cell r="A394" t="str">
            <v>A3271470T</v>
          </cell>
          <cell r="B394">
            <v>4819</v>
          </cell>
          <cell r="C394" t="str">
            <v>R</v>
          </cell>
        </row>
        <row r="395">
          <cell r="A395" t="str">
            <v>A32714A0T</v>
          </cell>
          <cell r="B395">
            <v>4819</v>
          </cell>
          <cell r="C395" t="str">
            <v>R</v>
          </cell>
        </row>
        <row r="396">
          <cell r="A396" t="str">
            <v>A32714B0T</v>
          </cell>
          <cell r="B396">
            <v>4819</v>
          </cell>
          <cell r="C396" t="str">
            <v>R</v>
          </cell>
        </row>
        <row r="397">
          <cell r="A397" t="str">
            <v>A32714C0T</v>
          </cell>
          <cell r="B397">
            <v>4819</v>
          </cell>
          <cell r="C397" t="str">
            <v>R</v>
          </cell>
        </row>
        <row r="398">
          <cell r="A398" t="str">
            <v>A3271570T</v>
          </cell>
          <cell r="B398">
            <v>4822</v>
          </cell>
          <cell r="C398" t="str">
            <v>L</v>
          </cell>
        </row>
        <row r="399">
          <cell r="A399" t="str">
            <v>A3271590T</v>
          </cell>
          <cell r="B399">
            <v>4822</v>
          </cell>
          <cell r="C399" t="str">
            <v>L</v>
          </cell>
        </row>
        <row r="400">
          <cell r="A400" t="str">
            <v>A32715A0T</v>
          </cell>
          <cell r="B400">
            <v>4822</v>
          </cell>
          <cell r="C400" t="str">
            <v>L</v>
          </cell>
        </row>
        <row r="401">
          <cell r="A401" t="str">
            <v>A32715B0T</v>
          </cell>
          <cell r="B401">
            <v>4822</v>
          </cell>
          <cell r="C401" t="str">
            <v>L</v>
          </cell>
        </row>
        <row r="402">
          <cell r="A402" t="str">
            <v>A32715C0T</v>
          </cell>
          <cell r="B402">
            <v>4822</v>
          </cell>
          <cell r="C402" t="str">
            <v>L</v>
          </cell>
        </row>
        <row r="403">
          <cell r="A403" t="str">
            <v>A3271670T</v>
          </cell>
          <cell r="B403">
            <v>4823</v>
          </cell>
          <cell r="C403" t="str">
            <v>R</v>
          </cell>
        </row>
        <row r="404">
          <cell r="A404" t="str">
            <v>A3271690T</v>
          </cell>
          <cell r="B404">
            <v>4823</v>
          </cell>
          <cell r="C404" t="str">
            <v>R</v>
          </cell>
        </row>
        <row r="405">
          <cell r="A405" t="str">
            <v>A32716A0T</v>
          </cell>
          <cell r="B405">
            <v>4823</v>
          </cell>
          <cell r="C405" t="str">
            <v>R</v>
          </cell>
        </row>
        <row r="406">
          <cell r="A406" t="str">
            <v>A32716B0T</v>
          </cell>
          <cell r="B406">
            <v>4823</v>
          </cell>
          <cell r="C406" t="str">
            <v>R</v>
          </cell>
        </row>
        <row r="407">
          <cell r="A407" t="str">
            <v>A32716C0T</v>
          </cell>
          <cell r="B407">
            <v>4823</v>
          </cell>
          <cell r="C407" t="str">
            <v>R</v>
          </cell>
        </row>
        <row r="408">
          <cell r="A408" t="str">
            <v>A3271770T</v>
          </cell>
          <cell r="B408">
            <v>4820</v>
          </cell>
          <cell r="C408" t="str">
            <v>L</v>
          </cell>
        </row>
        <row r="409">
          <cell r="A409" t="str">
            <v>A3271790T</v>
          </cell>
          <cell r="B409">
            <v>4820</v>
          </cell>
          <cell r="C409" t="str">
            <v>L</v>
          </cell>
        </row>
        <row r="410">
          <cell r="A410" t="str">
            <v>A32717A0T</v>
          </cell>
          <cell r="B410">
            <v>4820</v>
          </cell>
          <cell r="C410" t="str">
            <v>L</v>
          </cell>
        </row>
        <row r="411">
          <cell r="A411" t="str">
            <v>A32717B0T</v>
          </cell>
          <cell r="B411">
            <v>4820</v>
          </cell>
          <cell r="C411" t="str">
            <v>L</v>
          </cell>
        </row>
        <row r="412">
          <cell r="A412" t="str">
            <v>A32717C0T</v>
          </cell>
          <cell r="B412">
            <v>4820</v>
          </cell>
          <cell r="C412" t="str">
            <v>L</v>
          </cell>
        </row>
        <row r="413">
          <cell r="A413" t="str">
            <v>A3271870T</v>
          </cell>
          <cell r="B413">
            <v>4821</v>
          </cell>
          <cell r="C413" t="str">
            <v>R</v>
          </cell>
        </row>
        <row r="414">
          <cell r="A414" t="str">
            <v>A3271890T</v>
          </cell>
          <cell r="B414">
            <v>4821</v>
          </cell>
          <cell r="C414" t="str">
            <v>R</v>
          </cell>
        </row>
        <row r="415">
          <cell r="A415" t="str">
            <v>A32718A0T</v>
          </cell>
          <cell r="B415">
            <v>4821</v>
          </cell>
          <cell r="C415" t="str">
            <v>R</v>
          </cell>
        </row>
        <row r="416">
          <cell r="A416" t="str">
            <v>A32718B0T</v>
          </cell>
          <cell r="B416">
            <v>4821</v>
          </cell>
          <cell r="C416" t="str">
            <v>R</v>
          </cell>
        </row>
        <row r="417">
          <cell r="A417" t="str">
            <v>A32718C0T</v>
          </cell>
          <cell r="B417">
            <v>4821</v>
          </cell>
          <cell r="C417" t="str">
            <v>R</v>
          </cell>
        </row>
        <row r="418">
          <cell r="A418" t="str">
            <v>A3321820T</v>
          </cell>
          <cell r="B418" t="str">
            <v>5356-新款貼遮噴貼紙</v>
          </cell>
          <cell r="C418" t="str">
            <v>L</v>
          </cell>
        </row>
        <row r="419">
          <cell r="A419" t="str">
            <v>A3321920T</v>
          </cell>
          <cell r="B419" t="str">
            <v>5355-新款貼遮噴貼紙</v>
          </cell>
          <cell r="C419" t="str">
            <v>R</v>
          </cell>
        </row>
        <row r="420">
          <cell r="A420" t="str">
            <v>A3322020T</v>
          </cell>
          <cell r="B420" t="str">
            <v>5358-頭蓋鐳雕</v>
          </cell>
          <cell r="C420" t="str">
            <v>L</v>
          </cell>
        </row>
        <row r="421">
          <cell r="A421" t="str">
            <v>A3322120T</v>
          </cell>
          <cell r="B421" t="str">
            <v>5357-頭蓋鐳雕</v>
          </cell>
          <cell r="C421" t="str">
            <v>R</v>
          </cell>
        </row>
        <row r="422">
          <cell r="A422" t="str">
            <v>A3321610T</v>
          </cell>
          <cell r="B422" t="str">
            <v>5352-新款貼遮噴貼紙</v>
          </cell>
          <cell r="C422" t="str">
            <v>L</v>
          </cell>
        </row>
        <row r="423">
          <cell r="A423" t="str">
            <v>A32495B0T</v>
          </cell>
          <cell r="B423" t="str">
            <v>358000S-新款頭蓋有鐳雕</v>
          </cell>
          <cell r="C423" t="str">
            <v>16度頭蓋</v>
          </cell>
        </row>
        <row r="424">
          <cell r="A424" t="str">
            <v>A3249570T</v>
          </cell>
          <cell r="B424" t="str">
            <v>358000S-新款頭蓋有鐳雕</v>
          </cell>
          <cell r="C424" t="str">
            <v>16度頭蓋</v>
          </cell>
        </row>
        <row r="425">
          <cell r="A425" t="str">
            <v>A3225022T</v>
          </cell>
          <cell r="B425" t="str">
            <v>新金油</v>
          </cell>
        </row>
        <row r="426">
          <cell r="A426" t="str">
            <v>A3249060T</v>
          </cell>
          <cell r="B426" t="str">
            <v>360800S-新款頭蓋有鐳雕</v>
          </cell>
        </row>
        <row r="427">
          <cell r="A427" t="str">
            <v>A32663B0T</v>
          </cell>
          <cell r="B427" t="str">
            <v>4825、不噴金油</v>
          </cell>
          <cell r="C427" t="str">
            <v>L</v>
          </cell>
        </row>
        <row r="428">
          <cell r="A428" t="str">
            <v>A32664B0T</v>
          </cell>
          <cell r="B428" t="str">
            <v>4826、不噴金油</v>
          </cell>
          <cell r="C428" t="str">
            <v>R</v>
          </cell>
        </row>
        <row r="429">
          <cell r="A429" t="str">
            <v>A3297350T</v>
          </cell>
          <cell r="B429" t="str">
            <v>新金油</v>
          </cell>
        </row>
        <row r="430">
          <cell r="A430" t="str">
            <v>A3221130T</v>
          </cell>
          <cell r="B430" t="str">
            <v>共用4PW</v>
          </cell>
          <cell r="C430" t="str">
            <v>0度頭蓋</v>
          </cell>
        </row>
        <row r="431">
          <cell r="A431" t="str">
            <v>A3221180T</v>
          </cell>
          <cell r="B431" t="str">
            <v>共用6HA</v>
          </cell>
          <cell r="C431" t="str">
            <v>0度頭蓋</v>
          </cell>
        </row>
        <row r="432">
          <cell r="A432" t="str">
            <v>A3214480T</v>
          </cell>
          <cell r="B432" t="str">
            <v>共用6HA</v>
          </cell>
        </row>
        <row r="433">
          <cell r="A433" t="str">
            <v>A30041H0T</v>
          </cell>
          <cell r="B433" t="str">
            <v>新金油</v>
          </cell>
        </row>
        <row r="434">
          <cell r="A434" t="str">
            <v>A32685A0T</v>
          </cell>
          <cell r="B434">
            <v>4852</v>
          </cell>
          <cell r="C434" t="str">
            <v>R</v>
          </cell>
        </row>
        <row r="435">
          <cell r="A435" t="str">
            <v>A32686A0T</v>
          </cell>
          <cell r="B435">
            <v>4853</v>
          </cell>
          <cell r="C435" t="str">
            <v>L</v>
          </cell>
        </row>
        <row r="436">
          <cell r="A436" t="str">
            <v>A3271150T</v>
          </cell>
          <cell r="B436" t="str">
            <v>4816-貼背面</v>
          </cell>
          <cell r="C436" t="str">
            <v>L</v>
          </cell>
        </row>
        <row r="437">
          <cell r="A437" t="str">
            <v>A3271250T</v>
          </cell>
          <cell r="B437" t="str">
            <v>4817-貼背面</v>
          </cell>
          <cell r="C437" t="str">
            <v>R</v>
          </cell>
        </row>
        <row r="438">
          <cell r="A438" t="str">
            <v>A3323710T</v>
          </cell>
          <cell r="B438" t="str">
            <v>66K-TA159</v>
          </cell>
        </row>
        <row r="439">
          <cell r="A439" t="str">
            <v>A32685C0T</v>
          </cell>
          <cell r="B439">
            <v>4852</v>
          </cell>
          <cell r="C439" t="str">
            <v>R</v>
          </cell>
        </row>
        <row r="440">
          <cell r="A440" t="str">
            <v>A32686C0T</v>
          </cell>
          <cell r="B440">
            <v>4853</v>
          </cell>
          <cell r="C440" t="str">
            <v>L</v>
          </cell>
        </row>
        <row r="441">
          <cell r="A441" t="str">
            <v>A3271270T</v>
          </cell>
          <cell r="B441" t="str">
            <v>4817-貼背面</v>
          </cell>
          <cell r="C441" t="str">
            <v>R</v>
          </cell>
        </row>
        <row r="442">
          <cell r="A442" t="str">
            <v>A3271170T</v>
          </cell>
          <cell r="B442" t="str">
            <v>4816-貼背面</v>
          </cell>
          <cell r="C442" t="str">
            <v>L</v>
          </cell>
        </row>
        <row r="443">
          <cell r="A443" t="str">
            <v>A3298090T</v>
          </cell>
          <cell r="B443">
            <v>5227</v>
          </cell>
          <cell r="C443" t="str">
            <v>NA</v>
          </cell>
        </row>
        <row r="444">
          <cell r="A444" t="str">
            <v>A3298190T</v>
          </cell>
          <cell r="B444">
            <v>5228</v>
          </cell>
          <cell r="C444" t="str">
            <v>NA</v>
          </cell>
        </row>
        <row r="445">
          <cell r="A445" t="str">
            <v>A3297990T</v>
          </cell>
          <cell r="B445">
            <v>5222</v>
          </cell>
          <cell r="C445" t="str">
            <v>NA</v>
          </cell>
        </row>
        <row r="446">
          <cell r="A446" t="str">
            <v>A3271220T</v>
          </cell>
          <cell r="B446" t="str">
            <v>4817-貼背面</v>
          </cell>
          <cell r="C446" t="str">
            <v>R</v>
          </cell>
        </row>
        <row r="447">
          <cell r="A447" t="str">
            <v>A3271120T</v>
          </cell>
          <cell r="B447" t="str">
            <v>4816-貼背面</v>
          </cell>
          <cell r="C447" t="str">
            <v>L</v>
          </cell>
        </row>
        <row r="448">
          <cell r="A448" t="str">
            <v>A32980A0T</v>
          </cell>
          <cell r="B448">
            <v>5227</v>
          </cell>
          <cell r="C448" t="str">
            <v>NA</v>
          </cell>
        </row>
        <row r="449">
          <cell r="A449" t="str">
            <v>A32981A0T</v>
          </cell>
          <cell r="B449">
            <v>5228</v>
          </cell>
          <cell r="C449" t="str">
            <v>NA</v>
          </cell>
        </row>
        <row r="450">
          <cell r="A450" t="str">
            <v>A32979A0T</v>
          </cell>
          <cell r="B450">
            <v>5222</v>
          </cell>
          <cell r="C450" t="str">
            <v>NA</v>
          </cell>
        </row>
        <row r="451">
          <cell r="A451" t="str">
            <v>A32978A0T</v>
          </cell>
          <cell r="B451">
            <v>5224</v>
          </cell>
          <cell r="C451" t="str">
            <v>NA</v>
          </cell>
        </row>
        <row r="452">
          <cell r="A452" t="str">
            <v>A32977A0T</v>
          </cell>
          <cell r="B452">
            <v>5223</v>
          </cell>
          <cell r="C452" t="str">
            <v>NA</v>
          </cell>
        </row>
        <row r="453">
          <cell r="A453" t="str">
            <v>A32976A0T</v>
          </cell>
          <cell r="B453">
            <v>5226</v>
          </cell>
          <cell r="C453" t="str">
            <v>L</v>
          </cell>
        </row>
        <row r="454">
          <cell r="A454" t="str">
            <v>A32975A0T</v>
          </cell>
          <cell r="B454">
            <v>5225</v>
          </cell>
          <cell r="C454" t="str">
            <v>R</v>
          </cell>
        </row>
        <row r="455">
          <cell r="A455" t="str">
            <v>A32801B0T</v>
          </cell>
          <cell r="B455" t="str">
            <v>5103、不噴金油</v>
          </cell>
          <cell r="C455" t="str">
            <v>R</v>
          </cell>
        </row>
        <row r="456">
          <cell r="A456" t="str">
            <v>A32800B0T</v>
          </cell>
          <cell r="B456" t="str">
            <v>5102、不噴金油</v>
          </cell>
          <cell r="C456" t="str">
            <v>L</v>
          </cell>
        </row>
        <row r="457">
          <cell r="A457" t="str">
            <v>A32798B0T</v>
          </cell>
          <cell r="B457" t="str">
            <v>5098、不噴金油</v>
          </cell>
          <cell r="C457" t="str">
            <v>L</v>
          </cell>
        </row>
        <row r="458">
          <cell r="A458" t="str">
            <v>A32799B0T</v>
          </cell>
          <cell r="B458" t="str">
            <v>5099、不噴金油</v>
          </cell>
          <cell r="C458" t="str">
            <v>R</v>
          </cell>
        </row>
        <row r="459">
          <cell r="A459" t="str">
            <v>A32520Q0T</v>
          </cell>
          <cell r="B459" t="str">
            <v>8844*4+金屬底</v>
          </cell>
          <cell r="C459" t="str">
            <v>16度頭蓋</v>
          </cell>
        </row>
        <row r="460">
          <cell r="A460" t="str">
            <v>A3297590T</v>
          </cell>
          <cell r="B460">
            <v>5225</v>
          </cell>
          <cell r="C460" t="str">
            <v>R</v>
          </cell>
        </row>
        <row r="461">
          <cell r="A461" t="str">
            <v>A3297690T</v>
          </cell>
          <cell r="B461">
            <v>5226</v>
          </cell>
          <cell r="C461" t="str">
            <v>L</v>
          </cell>
        </row>
        <row r="462">
          <cell r="A462" t="str">
            <v>A3297790T</v>
          </cell>
          <cell r="B462">
            <v>5223</v>
          </cell>
          <cell r="C462" t="str">
            <v>NA</v>
          </cell>
        </row>
        <row r="463">
          <cell r="A463" t="str">
            <v>A3297890T</v>
          </cell>
          <cell r="B463">
            <v>5224</v>
          </cell>
          <cell r="C463" t="str">
            <v>NA</v>
          </cell>
        </row>
        <row r="464">
          <cell r="A464" t="str">
            <v>A3271130T</v>
          </cell>
          <cell r="B464" t="str">
            <v>4816-貼背面</v>
          </cell>
          <cell r="C464" t="str">
            <v>L</v>
          </cell>
        </row>
        <row r="465">
          <cell r="A465" t="str">
            <v>A3271230T</v>
          </cell>
          <cell r="B465" t="str">
            <v>4817-貼背面</v>
          </cell>
          <cell r="C465" t="str">
            <v>R</v>
          </cell>
        </row>
        <row r="466">
          <cell r="A466" t="str">
            <v>A33237B0T</v>
          </cell>
          <cell r="B466" t="str">
            <v>66K-TA159</v>
          </cell>
        </row>
        <row r="467">
          <cell r="A467" t="str">
            <v>A3221710T</v>
          </cell>
          <cell r="C467" t="str">
            <v>0度頭蓋</v>
          </cell>
        </row>
        <row r="468">
          <cell r="A468" t="str">
            <v>A32217U0T</v>
          </cell>
          <cell r="C468" t="str">
            <v>0度頭蓋</v>
          </cell>
        </row>
        <row r="469">
          <cell r="A469" t="str">
            <v>A3221740T</v>
          </cell>
          <cell r="C469" t="str">
            <v>0度頭蓋</v>
          </cell>
        </row>
        <row r="470">
          <cell r="A470" t="str">
            <v>A3225120T</v>
          </cell>
          <cell r="C470" t="str">
            <v>0度頭蓋</v>
          </cell>
        </row>
        <row r="471">
          <cell r="A471" t="str">
            <v>A32251C0T</v>
          </cell>
          <cell r="C471" t="str">
            <v>0度頭蓋</v>
          </cell>
        </row>
        <row r="472">
          <cell r="A472" t="str">
            <v>A3225180T</v>
          </cell>
          <cell r="C472" t="str">
            <v>0度頭蓋</v>
          </cell>
        </row>
        <row r="473">
          <cell r="A473" t="str">
            <v>A3225100T</v>
          </cell>
          <cell r="C473" t="str">
            <v>0度頭蓋</v>
          </cell>
        </row>
        <row r="474">
          <cell r="A474" t="str">
            <v>A3225110T</v>
          </cell>
          <cell r="C474" t="str">
            <v>0度頭蓋</v>
          </cell>
        </row>
        <row r="475">
          <cell r="A475" t="str">
            <v>A32251D0T</v>
          </cell>
          <cell r="C475" t="str">
            <v>0度頭蓋</v>
          </cell>
        </row>
        <row r="476">
          <cell r="A476" t="str">
            <v>A3225130T</v>
          </cell>
          <cell r="C476" t="str">
            <v>0度頭蓋</v>
          </cell>
        </row>
        <row r="477">
          <cell r="A477" t="str">
            <v>A32474L0T</v>
          </cell>
          <cell r="C477" t="str">
            <v>0度頭蓋</v>
          </cell>
        </row>
        <row r="478">
          <cell r="A478" t="str">
            <v>A3221730T</v>
          </cell>
          <cell r="C478" t="str">
            <v>0度頭蓋</v>
          </cell>
        </row>
        <row r="479">
          <cell r="A479" t="str">
            <v>A3221750T</v>
          </cell>
          <cell r="C479" t="str">
            <v>0度頭蓋</v>
          </cell>
        </row>
        <row r="480">
          <cell r="A480" t="str">
            <v>A3221620T</v>
          </cell>
          <cell r="C480" t="str">
            <v>23度頭蓋</v>
          </cell>
        </row>
        <row r="481">
          <cell r="A481" t="str">
            <v>A3221670T</v>
          </cell>
          <cell r="C481" t="str">
            <v>23度頭蓋</v>
          </cell>
        </row>
        <row r="482">
          <cell r="A482" t="str">
            <v>A3221660T</v>
          </cell>
          <cell r="C482" t="str">
            <v>23度頭蓋</v>
          </cell>
        </row>
        <row r="483">
          <cell r="A483" t="str">
            <v>A3243470T</v>
          </cell>
          <cell r="C483" t="str">
            <v>23度頭蓋</v>
          </cell>
        </row>
        <row r="484">
          <cell r="A484" t="str">
            <v>A3243410T</v>
          </cell>
          <cell r="C484" t="str">
            <v>23度頭蓋</v>
          </cell>
        </row>
        <row r="485">
          <cell r="A485" t="str">
            <v>A3243420T</v>
          </cell>
          <cell r="C485" t="str">
            <v>23度頭蓋</v>
          </cell>
        </row>
        <row r="486">
          <cell r="A486" t="str">
            <v>A3243430T</v>
          </cell>
          <cell r="C486" t="str">
            <v>23度頭蓋</v>
          </cell>
        </row>
        <row r="487">
          <cell r="A487" t="str">
            <v>A3221120T</v>
          </cell>
          <cell r="C487" t="str">
            <v>0度頭蓋</v>
          </cell>
        </row>
        <row r="488">
          <cell r="A488" t="str">
            <v>A3221130T</v>
          </cell>
          <cell r="C488" t="str">
            <v>0度頭蓋</v>
          </cell>
        </row>
        <row r="489">
          <cell r="A489" t="str">
            <v>A3221180T</v>
          </cell>
          <cell r="C489" t="str">
            <v>0度頭蓋</v>
          </cell>
        </row>
        <row r="490">
          <cell r="A490" t="str">
            <v>A32211J0T</v>
          </cell>
          <cell r="C490" t="str">
            <v>0度頭蓋</v>
          </cell>
        </row>
        <row r="491">
          <cell r="A491" t="str">
            <v>A3252010T</v>
          </cell>
          <cell r="C491" t="str">
            <v>16度頭蓋</v>
          </cell>
        </row>
        <row r="492">
          <cell r="A492" t="str">
            <v>A32520H0T</v>
          </cell>
          <cell r="C492" t="str">
            <v>16度頭蓋</v>
          </cell>
        </row>
        <row r="493">
          <cell r="A493" t="str">
            <v>A32520Q0T</v>
          </cell>
          <cell r="C493" t="str">
            <v>16度頭蓋</v>
          </cell>
        </row>
        <row r="494">
          <cell r="A494" t="str">
            <v>A32520J0T</v>
          </cell>
          <cell r="C494" t="str">
            <v>16度頭蓋</v>
          </cell>
        </row>
        <row r="495">
          <cell r="A495" t="str">
            <v>A3275780T</v>
          </cell>
          <cell r="C495" t="str">
            <v>12度頭蓋</v>
          </cell>
        </row>
        <row r="496">
          <cell r="A496" t="str">
            <v>A3240610T</v>
          </cell>
          <cell r="C496" t="str">
            <v>26度頭蓋</v>
          </cell>
        </row>
        <row r="497">
          <cell r="A497" t="str">
            <v>A3235800T</v>
          </cell>
          <cell r="C497" t="str">
            <v>5度頭蓋</v>
          </cell>
        </row>
        <row r="498">
          <cell r="A498" t="str">
            <v>A3323770T</v>
          </cell>
          <cell r="B498" t="str">
            <v>66K-TA159</v>
          </cell>
        </row>
        <row r="499">
          <cell r="A499" t="str">
            <v>A3323780T</v>
          </cell>
          <cell r="B499" t="str">
            <v>66K-TA159</v>
          </cell>
        </row>
        <row r="500">
          <cell r="A500" t="str">
            <v>A33237A0T</v>
          </cell>
          <cell r="B500" t="str">
            <v>66K-TA159</v>
          </cell>
        </row>
        <row r="501">
          <cell r="A501" t="str">
            <v>A33237D0T</v>
          </cell>
          <cell r="B501" t="str">
            <v>66K-TA159</v>
          </cell>
        </row>
        <row r="502">
          <cell r="A502" t="str">
            <v>A3247440T</v>
          </cell>
          <cell r="B502" t="str">
            <v>黃底漆</v>
          </cell>
          <cell r="C502" t="str">
            <v>0度頭蓋</v>
          </cell>
        </row>
        <row r="503">
          <cell r="A503" t="str">
            <v>A3323760T</v>
          </cell>
          <cell r="B503" t="str">
            <v>66K-TA159</v>
          </cell>
        </row>
        <row r="504">
          <cell r="A504" t="str">
            <v>A3323720T</v>
          </cell>
          <cell r="B504" t="str">
            <v>66K-TA159</v>
          </cell>
        </row>
        <row r="505">
          <cell r="A505" t="str">
            <v>A3240610T</v>
          </cell>
          <cell r="B505">
            <v>4272</v>
          </cell>
        </row>
        <row r="506">
          <cell r="A506" t="str">
            <v>A32495A0T</v>
          </cell>
          <cell r="B506" t="str">
            <v>358000S-新款頭蓋有鐳雕</v>
          </cell>
          <cell r="C506" t="str">
            <v>16度頭蓋</v>
          </cell>
        </row>
        <row r="507">
          <cell r="A507" t="str">
            <v>A3275680T</v>
          </cell>
          <cell r="B507">
            <v>4996</v>
          </cell>
        </row>
        <row r="508">
          <cell r="A508" t="str">
            <v>A3275780T</v>
          </cell>
          <cell r="B508">
            <v>5008</v>
          </cell>
        </row>
        <row r="509">
          <cell r="A509" t="str">
            <v>A3326520T</v>
          </cell>
          <cell r="B509">
            <v>5586</v>
          </cell>
        </row>
        <row r="510">
          <cell r="A510" t="str">
            <v>A3326620T</v>
          </cell>
          <cell r="B510">
            <v>5587</v>
          </cell>
        </row>
        <row r="511">
          <cell r="A511" t="str">
            <v>A3326730T</v>
          </cell>
          <cell r="B511">
            <v>5588</v>
          </cell>
        </row>
        <row r="512">
          <cell r="A512" t="str">
            <v>A3326830T</v>
          </cell>
          <cell r="B512">
            <v>5589</v>
          </cell>
        </row>
        <row r="513">
          <cell r="A513" t="str">
            <v>A3259220T</v>
          </cell>
          <cell r="B513" t="str">
            <v>TA144</v>
          </cell>
        </row>
        <row r="514">
          <cell r="A514" t="str">
            <v>A32592C0T</v>
          </cell>
          <cell r="B514" t="str">
            <v>TA144</v>
          </cell>
        </row>
        <row r="515">
          <cell r="A515" t="str">
            <v>A32592A0T</v>
          </cell>
          <cell r="B515" t="str">
            <v>TA144</v>
          </cell>
        </row>
        <row r="516">
          <cell r="A516" t="str">
            <v>A32592T0T</v>
          </cell>
          <cell r="B516" t="str">
            <v>TA144</v>
          </cell>
        </row>
        <row r="517">
          <cell r="A517" t="str">
            <v>A3228630T</v>
          </cell>
          <cell r="B517" t="str">
            <v>TA149</v>
          </cell>
        </row>
        <row r="518">
          <cell r="A518" t="str">
            <v>A3228610T</v>
          </cell>
          <cell r="B518" t="str">
            <v>TA149</v>
          </cell>
        </row>
        <row r="519">
          <cell r="A519" t="str">
            <v>A3252810T</v>
          </cell>
          <cell r="B519" t="str">
            <v>TA158</v>
          </cell>
        </row>
        <row r="520">
          <cell r="A520" t="str">
            <v>A32528E0T</v>
          </cell>
          <cell r="B520" t="str">
            <v>TA158</v>
          </cell>
        </row>
        <row r="521">
          <cell r="A521" t="str">
            <v>A32528D0T</v>
          </cell>
          <cell r="B521" t="str">
            <v>TA158</v>
          </cell>
        </row>
        <row r="522">
          <cell r="A522" t="str">
            <v>A32528F0T</v>
          </cell>
          <cell r="B522" t="str">
            <v>TA158</v>
          </cell>
        </row>
        <row r="523">
          <cell r="A523" t="str">
            <v>A32528A1T</v>
          </cell>
          <cell r="B523" t="str">
            <v>TA158</v>
          </cell>
        </row>
        <row r="524">
          <cell r="A524" t="str">
            <v>A32528B1T</v>
          </cell>
          <cell r="B524" t="str">
            <v>TA158</v>
          </cell>
        </row>
        <row r="525">
          <cell r="A525" t="str">
            <v>A3252871T</v>
          </cell>
          <cell r="B525" t="str">
            <v>TA158</v>
          </cell>
        </row>
        <row r="526">
          <cell r="A526" t="str">
            <v>A32528Y1T</v>
          </cell>
          <cell r="B526" t="str">
            <v>TA158</v>
          </cell>
        </row>
        <row r="527">
          <cell r="A527" t="str">
            <v>A3252812T</v>
          </cell>
          <cell r="B527" t="str">
            <v>TA158</v>
          </cell>
        </row>
        <row r="528">
          <cell r="A528" t="str">
            <v>A32592D0T</v>
          </cell>
          <cell r="B528" t="str">
            <v>TA144</v>
          </cell>
        </row>
        <row r="529">
          <cell r="A529" t="str">
            <v>A3259260T</v>
          </cell>
          <cell r="B529" t="str">
            <v>TA144</v>
          </cell>
        </row>
        <row r="530">
          <cell r="A530" t="str">
            <v>A32592B0T</v>
          </cell>
          <cell r="B530" t="str">
            <v>TA144</v>
          </cell>
        </row>
        <row r="531">
          <cell r="A531" t="str">
            <v>A3228650T</v>
          </cell>
          <cell r="B531" t="str">
            <v>TA149</v>
          </cell>
        </row>
        <row r="532">
          <cell r="A532" t="str">
            <v>A3228691T</v>
          </cell>
          <cell r="B532" t="str">
            <v>TA149</v>
          </cell>
        </row>
        <row r="533">
          <cell r="A533" t="str">
            <v>A32286N0T</v>
          </cell>
          <cell r="B533" t="str">
            <v>TA149</v>
          </cell>
        </row>
        <row r="534">
          <cell r="A534" t="str">
            <v>A32286A1T</v>
          </cell>
          <cell r="B534" t="str">
            <v>TA149</v>
          </cell>
        </row>
        <row r="535">
          <cell r="A535" t="str">
            <v>A3228681T</v>
          </cell>
          <cell r="B535" t="str">
            <v>TA149</v>
          </cell>
        </row>
        <row r="536">
          <cell r="A536" t="str">
            <v>A3228651T</v>
          </cell>
          <cell r="B536" t="str">
            <v>TA149</v>
          </cell>
        </row>
        <row r="537">
          <cell r="A537" t="str">
            <v>A3228640T</v>
          </cell>
          <cell r="B537" t="str">
            <v>TA149</v>
          </cell>
        </row>
        <row r="538">
          <cell r="A538" t="str">
            <v>A3252820T</v>
          </cell>
          <cell r="B538" t="str">
            <v>TA158</v>
          </cell>
        </row>
        <row r="539">
          <cell r="A539" t="str">
            <v>A3252881T</v>
          </cell>
          <cell r="B539" t="str">
            <v>TA158</v>
          </cell>
        </row>
        <row r="540">
          <cell r="A540" t="str">
            <v>A3252891T</v>
          </cell>
          <cell r="B540" t="str">
            <v>TA158</v>
          </cell>
        </row>
        <row r="541">
          <cell r="A541" t="str">
            <v>A32528G0T</v>
          </cell>
          <cell r="B541" t="str">
            <v>TA158</v>
          </cell>
        </row>
        <row r="542">
          <cell r="A542" t="str">
            <v>A3252880T</v>
          </cell>
          <cell r="B542" t="str">
            <v>TA158</v>
          </cell>
        </row>
        <row r="543">
          <cell r="A543" t="str">
            <v>A3252870T</v>
          </cell>
          <cell r="B543" t="str">
            <v>TA158</v>
          </cell>
        </row>
        <row r="544">
          <cell r="A544" t="str">
            <v>A3252890T</v>
          </cell>
          <cell r="B544" t="str">
            <v>TA158</v>
          </cell>
        </row>
        <row r="545">
          <cell r="A545" t="str">
            <v>A3252840T</v>
          </cell>
          <cell r="B545" t="str">
            <v>TA158</v>
          </cell>
        </row>
        <row r="546">
          <cell r="A546" t="str">
            <v>A3326530T</v>
          </cell>
          <cell r="B546">
            <v>5586</v>
          </cell>
          <cell r="C546" t="str">
            <v>L</v>
          </cell>
        </row>
        <row r="547">
          <cell r="A547" t="str">
            <v>A3326560T</v>
          </cell>
          <cell r="B547" t="str">
            <v>5586、8844</v>
          </cell>
          <cell r="C547" t="str">
            <v>L</v>
          </cell>
        </row>
        <row r="548">
          <cell r="A548" t="str">
            <v>A3326630T</v>
          </cell>
          <cell r="B548">
            <v>5587</v>
          </cell>
          <cell r="C548" t="str">
            <v>R</v>
          </cell>
        </row>
        <row r="549">
          <cell r="A549" t="str">
            <v>A3326660T</v>
          </cell>
          <cell r="B549" t="str">
            <v>5587、8844</v>
          </cell>
          <cell r="C549" t="str">
            <v>R</v>
          </cell>
        </row>
        <row r="550">
          <cell r="A550" t="str">
            <v>A3326760T</v>
          </cell>
          <cell r="B550" t="str">
            <v>5588、8844</v>
          </cell>
          <cell r="C550" t="str">
            <v>L</v>
          </cell>
        </row>
        <row r="551">
          <cell r="A551" t="str">
            <v>A3326860T</v>
          </cell>
          <cell r="B551" t="str">
            <v>5589、8844</v>
          </cell>
          <cell r="C551" t="str">
            <v>R</v>
          </cell>
        </row>
        <row r="552">
          <cell r="A552" t="str">
            <v>A3326570T</v>
          </cell>
          <cell r="B552">
            <v>5586</v>
          </cell>
          <cell r="C552" t="str">
            <v>L</v>
          </cell>
        </row>
        <row r="553">
          <cell r="A553" t="str">
            <v>A3326720T</v>
          </cell>
          <cell r="B553">
            <v>5588</v>
          </cell>
          <cell r="C553" t="str">
            <v>L</v>
          </cell>
        </row>
        <row r="554">
          <cell r="A554" t="str">
            <v>A3326820T</v>
          </cell>
          <cell r="B554">
            <v>5589</v>
          </cell>
          <cell r="C554" t="str">
            <v>R</v>
          </cell>
        </row>
        <row r="555">
          <cell r="A555" t="str">
            <v>A3326670T</v>
          </cell>
          <cell r="B555">
            <v>5587</v>
          </cell>
          <cell r="C555" t="str">
            <v>R</v>
          </cell>
        </row>
        <row r="556">
          <cell r="A556" t="str">
            <v>A3326770T</v>
          </cell>
          <cell r="B556">
            <v>5588</v>
          </cell>
          <cell r="C556" t="str">
            <v>L</v>
          </cell>
        </row>
        <row r="557">
          <cell r="A557" t="str">
            <v>A3326870T</v>
          </cell>
          <cell r="B557">
            <v>5589</v>
          </cell>
          <cell r="C557" t="str">
            <v>R</v>
          </cell>
        </row>
        <row r="558">
          <cell r="A558" t="str">
            <v>A32592G0T</v>
          </cell>
          <cell r="B558" t="str">
            <v>TA144</v>
          </cell>
        </row>
        <row r="559">
          <cell r="A559" t="str">
            <v>A32592H0T</v>
          </cell>
          <cell r="B559" t="str">
            <v>TA144</v>
          </cell>
        </row>
        <row r="560">
          <cell r="A560" t="str">
            <v>A32592K0T</v>
          </cell>
          <cell r="B560" t="str">
            <v>TA144</v>
          </cell>
        </row>
        <row r="561">
          <cell r="A561" t="str">
            <v>A32592M0T</v>
          </cell>
          <cell r="B561" t="str">
            <v>TA144</v>
          </cell>
        </row>
        <row r="562">
          <cell r="A562" t="str">
            <v>A32592L0T</v>
          </cell>
          <cell r="B562" t="str">
            <v>TA144</v>
          </cell>
        </row>
        <row r="563">
          <cell r="A563" t="str">
            <v>A32592F0T</v>
          </cell>
          <cell r="B563" t="str">
            <v>TA144</v>
          </cell>
        </row>
        <row r="564">
          <cell r="A564" t="str">
            <v>A32592W0T</v>
          </cell>
          <cell r="B564" t="str">
            <v>TA144</v>
          </cell>
        </row>
        <row r="565">
          <cell r="A565" t="str">
            <v>A3326540T</v>
          </cell>
          <cell r="B565" t="str">
            <v>5586、8844、金屬底</v>
          </cell>
          <cell r="C565" t="str">
            <v>L</v>
          </cell>
        </row>
        <row r="566">
          <cell r="A566" t="str">
            <v>A3326550T</v>
          </cell>
          <cell r="B566">
            <v>5586</v>
          </cell>
          <cell r="C566" t="str">
            <v>L</v>
          </cell>
        </row>
        <row r="567">
          <cell r="A567" t="str">
            <v>A3326580T</v>
          </cell>
          <cell r="B567">
            <v>5586</v>
          </cell>
          <cell r="C567" t="str">
            <v>L</v>
          </cell>
        </row>
        <row r="568">
          <cell r="A568" t="str">
            <v>A3326640T</v>
          </cell>
          <cell r="B568" t="str">
            <v>5587、8844、金屬底</v>
          </cell>
          <cell r="C568" t="str">
            <v>R</v>
          </cell>
        </row>
        <row r="569">
          <cell r="A569" t="str">
            <v>A3326650T</v>
          </cell>
          <cell r="B569">
            <v>5587</v>
          </cell>
          <cell r="C569" t="str">
            <v>R</v>
          </cell>
        </row>
        <row r="570">
          <cell r="A570" t="str">
            <v>A3326680T</v>
          </cell>
          <cell r="B570">
            <v>5587</v>
          </cell>
          <cell r="C570" t="str">
            <v>R</v>
          </cell>
        </row>
        <row r="571">
          <cell r="A571" t="str">
            <v>A3326740T</v>
          </cell>
          <cell r="B571" t="str">
            <v>5588、8844、金屬底</v>
          </cell>
          <cell r="C571" t="str">
            <v>L</v>
          </cell>
        </row>
        <row r="572">
          <cell r="A572" t="str">
            <v>A3326750T</v>
          </cell>
          <cell r="B572">
            <v>5588</v>
          </cell>
          <cell r="C572" t="str">
            <v>L</v>
          </cell>
        </row>
        <row r="573">
          <cell r="A573" t="str">
            <v>A3326780T</v>
          </cell>
          <cell r="B573">
            <v>5588</v>
          </cell>
          <cell r="C573" t="str">
            <v>L</v>
          </cell>
        </row>
        <row r="574">
          <cell r="A574" t="str">
            <v>A3326840T</v>
          </cell>
          <cell r="B574" t="str">
            <v>5589、8844、金屬底</v>
          </cell>
          <cell r="C574" t="str">
            <v>R</v>
          </cell>
        </row>
        <row r="575">
          <cell r="A575" t="str">
            <v>A3326850T</v>
          </cell>
          <cell r="B575">
            <v>5589</v>
          </cell>
          <cell r="C575" t="str">
            <v>R</v>
          </cell>
        </row>
        <row r="576">
          <cell r="A576" t="str">
            <v>A3326880T</v>
          </cell>
          <cell r="B576">
            <v>5589</v>
          </cell>
          <cell r="C576" t="str">
            <v>R</v>
          </cell>
        </row>
        <row r="577">
          <cell r="A577" t="str">
            <v>A32528X1T</v>
          </cell>
          <cell r="B577" t="str">
            <v>TA158</v>
          </cell>
        </row>
        <row r="578">
          <cell r="A578" t="str">
            <v>A3252832T</v>
          </cell>
          <cell r="B578" t="str">
            <v>TA158</v>
          </cell>
        </row>
        <row r="579">
          <cell r="A579" t="str">
            <v>A3252872T</v>
          </cell>
          <cell r="B579" t="str">
            <v>TA158</v>
          </cell>
        </row>
        <row r="580">
          <cell r="A580" t="str">
            <v>A3252892T</v>
          </cell>
          <cell r="B580" t="str">
            <v>TA158</v>
          </cell>
        </row>
        <row r="581">
          <cell r="A581" t="str">
            <v>A32528C0T</v>
          </cell>
          <cell r="B581" t="str">
            <v>TA158</v>
          </cell>
        </row>
        <row r="582">
          <cell r="A582" t="str">
            <v>A3252822T</v>
          </cell>
          <cell r="B582" t="str">
            <v>TA158</v>
          </cell>
        </row>
        <row r="583">
          <cell r="A583" t="str">
            <v>A3252882T</v>
          </cell>
          <cell r="B583" t="str">
            <v>TA158</v>
          </cell>
        </row>
        <row r="584">
          <cell r="A584" t="str">
            <v>A3323790T</v>
          </cell>
          <cell r="B584" t="str">
            <v>66K-TA159</v>
          </cell>
        </row>
        <row r="585">
          <cell r="A585" t="str">
            <v>A3252852T</v>
          </cell>
          <cell r="B585" t="str">
            <v>TA158</v>
          </cell>
        </row>
        <row r="586">
          <cell r="A586" t="str">
            <v>A3252862T</v>
          </cell>
          <cell r="B586" t="str">
            <v>TA158</v>
          </cell>
        </row>
        <row r="587">
          <cell r="A587" t="str">
            <v>A3252842T</v>
          </cell>
          <cell r="B587" t="str">
            <v>TA158</v>
          </cell>
        </row>
        <row r="588">
          <cell r="A588" t="str">
            <v>A32528Z1T</v>
          </cell>
          <cell r="B588" t="str">
            <v>TA158</v>
          </cell>
        </row>
        <row r="589">
          <cell r="A589" t="str">
            <v>A33237C0T</v>
          </cell>
          <cell r="B589" t="str">
            <v>66K-TA159</v>
          </cell>
        </row>
        <row r="590">
          <cell r="A590" t="str">
            <v>A3249560T</v>
          </cell>
          <cell r="B590" t="str">
            <v>358000S-新款頭蓋有鐳雕</v>
          </cell>
          <cell r="C590" t="str">
            <v>16度頭蓋</v>
          </cell>
        </row>
        <row r="591">
          <cell r="A591" t="str">
            <v>A3240043T</v>
          </cell>
          <cell r="B591" t="str">
            <v>TA154</v>
          </cell>
        </row>
        <row r="592">
          <cell r="A592" t="str">
            <v>A32400Y1T</v>
          </cell>
          <cell r="B592" t="str">
            <v>TA154</v>
          </cell>
        </row>
        <row r="593">
          <cell r="A593" t="str">
            <v>A32400F2T</v>
          </cell>
          <cell r="B593" t="str">
            <v>TA154</v>
          </cell>
        </row>
        <row r="594">
          <cell r="A594" t="str">
            <v>A32400G0T</v>
          </cell>
          <cell r="B594" t="str">
            <v>TA154</v>
          </cell>
        </row>
        <row r="595">
          <cell r="A595" t="str">
            <v>A32400H1T</v>
          </cell>
          <cell r="B595" t="str">
            <v>TA154</v>
          </cell>
        </row>
        <row r="596">
          <cell r="A596" t="str">
            <v>A32400M1T</v>
          </cell>
          <cell r="B596" t="str">
            <v>TA154</v>
          </cell>
        </row>
        <row r="597">
          <cell r="A597" t="str">
            <v>A32144K0T</v>
          </cell>
          <cell r="B597" t="str">
            <v>TA107</v>
          </cell>
        </row>
        <row r="598">
          <cell r="A598" t="str">
            <v>A32400U0T</v>
          </cell>
          <cell r="B598" t="str">
            <v>TA154</v>
          </cell>
        </row>
        <row r="599">
          <cell r="A599" t="str">
            <v>A32400T0T</v>
          </cell>
          <cell r="B599" t="str">
            <v>TA154</v>
          </cell>
        </row>
        <row r="600">
          <cell r="A600" t="str">
            <v>A32400X0T</v>
          </cell>
          <cell r="B600" t="str">
            <v>TA154</v>
          </cell>
        </row>
        <row r="601">
          <cell r="A601" t="str">
            <v>A3228631T</v>
          </cell>
          <cell r="B601" t="str">
            <v>TA149</v>
          </cell>
        </row>
        <row r="602">
          <cell r="A602" t="str">
            <v>A32286G0T</v>
          </cell>
          <cell r="B602" t="str">
            <v>TA149</v>
          </cell>
        </row>
        <row r="603">
          <cell r="A603" t="str">
            <v>A32286X0T</v>
          </cell>
          <cell r="B603" t="str">
            <v>TA149</v>
          </cell>
        </row>
        <row r="604">
          <cell r="A604" t="str">
            <v>A32400U2T</v>
          </cell>
          <cell r="B604" t="str">
            <v>TA154</v>
          </cell>
        </row>
        <row r="605">
          <cell r="A605" t="str">
            <v>A32400W2T</v>
          </cell>
          <cell r="B605" t="str">
            <v>TA154</v>
          </cell>
        </row>
        <row r="606">
          <cell r="A606" t="str">
            <v>A32211H0T</v>
          </cell>
          <cell r="B606">
            <v>6647</v>
          </cell>
        </row>
        <row r="607">
          <cell r="A607" t="str">
            <v>A3259230T</v>
          </cell>
          <cell r="B607" t="str">
            <v>TA144</v>
          </cell>
        </row>
        <row r="608">
          <cell r="A608" t="str">
            <v>A3259230T</v>
          </cell>
          <cell r="B608" t="str">
            <v>TA144</v>
          </cell>
        </row>
        <row r="609">
          <cell r="A609" t="str">
            <v>A3259270T</v>
          </cell>
          <cell r="B609" t="str">
            <v>TA144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-18"/>
      <sheetName val="6-27"/>
      <sheetName val="7-1"/>
      <sheetName val="7-8-愛信"/>
      <sheetName val="7-2"/>
      <sheetName val="7-8"/>
      <sheetName val="7-10"/>
      <sheetName val="空白"/>
      <sheetName val="7-14"/>
      <sheetName val="7-18"/>
      <sheetName val="7-18-愛信"/>
      <sheetName val="7-21"/>
      <sheetName val="7-30"/>
      <sheetName val="7-31-愛信"/>
      <sheetName val="8-5"/>
      <sheetName val="愛信顏色首噴日期"/>
      <sheetName val="移轉"/>
      <sheetName val="PP"/>
      <sheetName val="落後未噴塗調查"/>
      <sheetName val="工作表1"/>
      <sheetName val="新生產管制表"/>
      <sheetName val="盤數"/>
      <sheetName val="總表"/>
      <sheetName val="排程"/>
      <sheetName val="雷雕處遮蔽&amp;艾仕得8844"/>
      <sheetName val="新舊料對照"/>
      <sheetName val="色碼對照"/>
      <sheetName val="工作表7"/>
      <sheetName val="專用底"/>
      <sheetName val="工作表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>
        <row r="1">
          <cell r="G1" t="str">
            <v>車廠</v>
          </cell>
          <cell r="H1" t="str">
            <v>公司
色碼</v>
          </cell>
          <cell r="I1" t="str">
            <v>面漆</v>
          </cell>
        </row>
        <row r="2">
          <cell r="G2" t="str">
            <v>台灣本田</v>
          </cell>
          <cell r="H2" t="str">
            <v>4VW</v>
          </cell>
          <cell r="I2" t="str">
            <v>5PTG000020XBB4VW</v>
          </cell>
        </row>
        <row r="3">
          <cell r="G3" t="str">
            <v>台灣本田</v>
          </cell>
          <cell r="H3" t="str">
            <v>GFR</v>
          </cell>
          <cell r="I3" t="str">
            <v>5PTG000523XBBGFR</v>
          </cell>
        </row>
        <row r="4">
          <cell r="G4" t="str">
            <v>台灣本田</v>
          </cell>
          <cell r="H4" t="str">
            <v>05W</v>
          </cell>
          <cell r="I4" t="str">
            <v>5PTG000376XAB05W</v>
          </cell>
        </row>
        <row r="5">
          <cell r="G5" t="str">
            <v>車美仕</v>
          </cell>
          <cell r="H5" t="str">
            <v>07W</v>
          </cell>
          <cell r="I5" t="str">
            <v>5PTG000082XBB07W</v>
          </cell>
        </row>
        <row r="6">
          <cell r="G6" t="str">
            <v>MAZDA</v>
          </cell>
          <cell r="H6" t="str">
            <v>08L</v>
          </cell>
          <cell r="I6" t="str">
            <v>5PTG000285XAB08L</v>
          </cell>
        </row>
        <row r="7">
          <cell r="G7" t="str">
            <v>車美仕</v>
          </cell>
          <cell r="H7" t="str">
            <v>09B</v>
          </cell>
          <cell r="I7" t="str">
            <v>5PTG000239XAB09B</v>
          </cell>
        </row>
        <row r="8">
          <cell r="G8" t="str">
            <v>MAZDA</v>
          </cell>
          <cell r="H8" t="str">
            <v>0EL</v>
          </cell>
          <cell r="I8" t="str">
            <v>5PTG000298XAB0EL</v>
          </cell>
        </row>
        <row r="9">
          <cell r="G9" t="str">
            <v>福特</v>
          </cell>
          <cell r="H9" t="str">
            <v>0LW</v>
          </cell>
          <cell r="I9" t="str">
            <v>5PTG000153XAB0LW</v>
          </cell>
        </row>
        <row r="10">
          <cell r="G10" t="str">
            <v>MAZDA</v>
          </cell>
          <cell r="H10" t="str">
            <v>12L</v>
          </cell>
          <cell r="I10" t="str">
            <v>5PTG000242XAB12L</v>
          </cell>
        </row>
        <row r="11">
          <cell r="G11" t="str">
            <v>MAZDA</v>
          </cell>
          <cell r="H11" t="str">
            <v>16B</v>
          </cell>
          <cell r="I11" t="str">
            <v>5PTG000283XAB16B</v>
          </cell>
        </row>
        <row r="12">
          <cell r="G12" t="str">
            <v>三陽</v>
          </cell>
          <cell r="H12" t="str">
            <v>18A</v>
          </cell>
          <cell r="I12" t="str">
            <v>5PTG000309XAB18A</v>
          </cell>
        </row>
        <row r="13">
          <cell r="G13" t="str">
            <v>SAUD</v>
          </cell>
          <cell r="H13" t="str">
            <v>19W</v>
          </cell>
          <cell r="I13" t="str">
            <v>5PTG000017XAB4PW</v>
          </cell>
        </row>
        <row r="14">
          <cell r="G14" t="str">
            <v>車美仕</v>
          </cell>
          <cell r="H14" t="str">
            <v>1AS</v>
          </cell>
          <cell r="I14" t="str">
            <v>5PTG000040XAB1AS</v>
          </cell>
        </row>
        <row r="15">
          <cell r="G15" t="str">
            <v>車美仕</v>
          </cell>
          <cell r="H15" t="str">
            <v>1FS</v>
          </cell>
          <cell r="I15" t="str">
            <v>5PTG000437XAB1FS</v>
          </cell>
        </row>
        <row r="16">
          <cell r="G16" t="str">
            <v>MAZDA</v>
          </cell>
          <cell r="H16" t="str">
            <v>27R</v>
          </cell>
          <cell r="I16" t="str">
            <v>5PTG000268XAB27R</v>
          </cell>
        </row>
        <row r="17">
          <cell r="G17" t="str">
            <v>MAZDA</v>
          </cell>
          <cell r="H17" t="str">
            <v>28A</v>
          </cell>
          <cell r="I17" t="str">
            <v>5PTG000249XAB28A</v>
          </cell>
        </row>
        <row r="18">
          <cell r="G18" t="str">
            <v>MAZDA</v>
          </cell>
          <cell r="H18" t="str">
            <v>29B</v>
          </cell>
          <cell r="I18" t="str">
            <v>5PTG000265XAB29B</v>
          </cell>
        </row>
        <row r="19">
          <cell r="H19" t="str">
            <v>2KA</v>
          </cell>
          <cell r="I19" t="str">
            <v>5PTG000007XAB2KA</v>
          </cell>
        </row>
        <row r="20">
          <cell r="G20" t="str">
            <v>和泰</v>
          </cell>
          <cell r="H20" t="str">
            <v>2US</v>
          </cell>
          <cell r="I20" t="str">
            <v>5PTG000067XAB2US</v>
          </cell>
        </row>
        <row r="21">
          <cell r="H21" t="str">
            <v>2VB</v>
          </cell>
          <cell r="I21" t="str">
            <v>5PTG000068XAB2VB</v>
          </cell>
        </row>
        <row r="22">
          <cell r="G22" t="str">
            <v>MAZDA</v>
          </cell>
          <cell r="H22" t="str">
            <v>31B</v>
          </cell>
          <cell r="I22" t="str">
            <v>5PTG000368XAB31B</v>
          </cell>
        </row>
        <row r="23">
          <cell r="G23" t="str">
            <v>MAZDA</v>
          </cell>
          <cell r="H23" t="str">
            <v>33S</v>
          </cell>
          <cell r="I23" t="str">
            <v>5PTG000267XAB33S</v>
          </cell>
        </row>
        <row r="24">
          <cell r="G24" t="str">
            <v>台灣馬自達</v>
          </cell>
          <cell r="H24" t="str">
            <v>34W</v>
          </cell>
          <cell r="I24" t="str">
            <v>5PTG000251XAB34W</v>
          </cell>
        </row>
        <row r="25">
          <cell r="G25" t="str">
            <v>裕隆C2032P</v>
          </cell>
          <cell r="H25" t="str">
            <v>35W</v>
          </cell>
          <cell r="I25" t="str">
            <v>5PTG000147XAB35W</v>
          </cell>
        </row>
        <row r="26">
          <cell r="G26" t="str">
            <v>MAZDA</v>
          </cell>
          <cell r="H26" t="str">
            <v>36A</v>
          </cell>
          <cell r="I26" t="str">
            <v>5PTG000252XAB36A</v>
          </cell>
        </row>
        <row r="27">
          <cell r="G27" t="str">
            <v>MAZDA</v>
          </cell>
          <cell r="H27" t="str">
            <v>38A</v>
          </cell>
          <cell r="I27" t="str">
            <v>5PTG000282XAB38A</v>
          </cell>
        </row>
        <row r="28">
          <cell r="H28" t="str">
            <v>39A</v>
          </cell>
          <cell r="I28" t="str">
            <v>5PTG000012XAB39A</v>
          </cell>
        </row>
        <row r="29">
          <cell r="H29" t="str">
            <v>3BR</v>
          </cell>
          <cell r="I29" t="str">
            <v>5PTG000013XAB3BR</v>
          </cell>
        </row>
        <row r="30">
          <cell r="H30" t="str">
            <v>3DL</v>
          </cell>
          <cell r="I30" t="str">
            <v>5PTG000048XAB3DL</v>
          </cell>
        </row>
        <row r="31">
          <cell r="G31" t="str">
            <v>台灣本田</v>
          </cell>
          <cell r="H31" t="str">
            <v>3PK</v>
          </cell>
          <cell r="I31" t="str">
            <v>5PTG000094XAB3PK</v>
          </cell>
        </row>
        <row r="32">
          <cell r="G32" t="str">
            <v>台灣本田</v>
          </cell>
          <cell r="H32" t="str">
            <v>3RA</v>
          </cell>
          <cell r="I32" t="str">
            <v>5PTG000144XAB3RA</v>
          </cell>
        </row>
        <row r="33">
          <cell r="H33" t="str">
            <v>3ZB</v>
          </cell>
          <cell r="I33" t="str">
            <v>5PTG000266XAB3ZB</v>
          </cell>
        </row>
        <row r="34">
          <cell r="G34" t="str">
            <v>MAZDA</v>
          </cell>
          <cell r="H34" t="str">
            <v>41R</v>
          </cell>
          <cell r="I34" t="str">
            <v>5PTG000288XAB41R</v>
          </cell>
        </row>
        <row r="35">
          <cell r="G35" t="str">
            <v>台灣本田</v>
          </cell>
          <cell r="H35" t="str">
            <v>42W</v>
          </cell>
          <cell r="I35" t="str">
            <v>5PTG000014XAB42W</v>
          </cell>
        </row>
        <row r="36">
          <cell r="G36" t="str">
            <v>THW</v>
          </cell>
          <cell r="H36" t="str">
            <v>43S</v>
          </cell>
          <cell r="I36" t="str">
            <v>5PTG000015XAB43S</v>
          </cell>
        </row>
        <row r="37">
          <cell r="G37" t="str">
            <v>THW</v>
          </cell>
          <cell r="H37" t="str">
            <v>47B</v>
          </cell>
          <cell r="I37" t="str">
            <v>5PTG000201XAB47B</v>
          </cell>
        </row>
        <row r="38">
          <cell r="G38" t="str">
            <v>THW</v>
          </cell>
          <cell r="H38" t="str">
            <v>48L</v>
          </cell>
          <cell r="I38" t="str">
            <v>5PTG000037XAB48L</v>
          </cell>
        </row>
        <row r="39">
          <cell r="H39" t="str">
            <v>49R</v>
          </cell>
          <cell r="I39" t="str">
            <v>5PTG000253XAB49R</v>
          </cell>
        </row>
        <row r="40">
          <cell r="G40" t="str">
            <v>車美仕</v>
          </cell>
          <cell r="H40" t="str">
            <v>4BB</v>
          </cell>
          <cell r="I40" t="str">
            <v>5PTG000016XAB4BB</v>
          </cell>
        </row>
        <row r="41">
          <cell r="G41" t="str">
            <v>台灣本田</v>
          </cell>
          <cell r="H41" t="str">
            <v>4GR</v>
          </cell>
          <cell r="I41" t="str">
            <v>5PTG000378XAB4GR</v>
          </cell>
        </row>
        <row r="42">
          <cell r="G42" t="str">
            <v>SAUD</v>
          </cell>
          <cell r="H42" t="str">
            <v>4PW</v>
          </cell>
          <cell r="I42" t="str">
            <v>5PTG000017XAB4PW</v>
          </cell>
        </row>
        <row r="43">
          <cell r="G43" t="str">
            <v>台灣豐通</v>
          </cell>
          <cell r="H43" t="str">
            <v>4QS</v>
          </cell>
          <cell r="I43" t="str">
            <v>5PTG000018XAB4QS</v>
          </cell>
        </row>
        <row r="44">
          <cell r="G44" t="str">
            <v>車美仕</v>
          </cell>
          <cell r="H44" t="str">
            <v>4RB</v>
          </cell>
          <cell r="I44" t="str">
            <v>5PTG000019XAB4RB</v>
          </cell>
        </row>
        <row r="45">
          <cell r="G45" t="str">
            <v>台灣本田</v>
          </cell>
          <cell r="H45" t="str">
            <v>4TB</v>
          </cell>
          <cell r="I45" t="str">
            <v>5PTG000062XAB4TB</v>
          </cell>
        </row>
        <row r="46">
          <cell r="G46" t="str">
            <v>台灣本田</v>
          </cell>
          <cell r="H46" t="str">
            <v>4ZN</v>
          </cell>
          <cell r="I46" t="str">
            <v>5PTG000021XAB4ZN</v>
          </cell>
        </row>
        <row r="47">
          <cell r="G47" t="str">
            <v>MAZDA</v>
          </cell>
          <cell r="H47" t="str">
            <v>53K</v>
          </cell>
          <cell r="I47" t="str">
            <v>5PTG000440XAB53K</v>
          </cell>
        </row>
        <row r="48">
          <cell r="G48" t="str">
            <v>MAZDA</v>
          </cell>
          <cell r="H48" t="str">
            <v>55R</v>
          </cell>
          <cell r="I48" t="str">
            <v>5PTG000321XAB55R</v>
          </cell>
        </row>
        <row r="49">
          <cell r="G49" t="str">
            <v>杏瑞</v>
          </cell>
          <cell r="H49" t="str">
            <v>56S</v>
          </cell>
          <cell r="I49" t="str">
            <v>5PTG000450XAB56S</v>
          </cell>
        </row>
        <row r="50">
          <cell r="G50" t="str">
            <v>台灣豐通</v>
          </cell>
          <cell r="H50" t="str">
            <v>57W</v>
          </cell>
          <cell r="I50" t="str">
            <v>5PTG000024XAB57W</v>
          </cell>
        </row>
        <row r="51">
          <cell r="G51" t="str">
            <v>杏瑞</v>
          </cell>
          <cell r="H51" t="str">
            <v>59B</v>
          </cell>
          <cell r="I51" t="str">
            <v>5PTG000451XAB59B</v>
          </cell>
        </row>
        <row r="52">
          <cell r="G52" t="str">
            <v>台灣本田</v>
          </cell>
          <cell r="H52" t="str">
            <v>5KA</v>
          </cell>
          <cell r="I52" t="str">
            <v>5PTG000046XAB5KA</v>
          </cell>
        </row>
        <row r="53">
          <cell r="G53" t="str">
            <v>台灣本田</v>
          </cell>
          <cell r="H53" t="str">
            <v>5QG</v>
          </cell>
          <cell r="I53" t="str">
            <v>5PTG000214XAB5QG</v>
          </cell>
        </row>
        <row r="54">
          <cell r="G54" t="str">
            <v>MAZDA</v>
          </cell>
          <cell r="H54" t="str">
            <v>62R</v>
          </cell>
          <cell r="I54" t="str">
            <v>5PTG000369XAB62R</v>
          </cell>
        </row>
        <row r="55">
          <cell r="G55" t="str">
            <v>杏瑞</v>
          </cell>
          <cell r="H55" t="str">
            <v>63N</v>
          </cell>
          <cell r="I55" t="str">
            <v>5PTG000452XAB63N</v>
          </cell>
        </row>
        <row r="56">
          <cell r="G56" t="str">
            <v>MAZDA</v>
          </cell>
          <cell r="H56" t="str">
            <v>64W</v>
          </cell>
          <cell r="I56" t="str">
            <v>5PTG000371XAB64W</v>
          </cell>
        </row>
        <row r="57">
          <cell r="H57" t="str">
            <v>65B</v>
          </cell>
          <cell r="I57" t="str">
            <v>5PTG000291XAB65B</v>
          </cell>
        </row>
        <row r="58">
          <cell r="G58" t="str">
            <v>杏瑞</v>
          </cell>
          <cell r="H58" t="str">
            <v>66W</v>
          </cell>
          <cell r="I58" t="str">
            <v>5PTG000453XAB66W</v>
          </cell>
        </row>
        <row r="59">
          <cell r="H59" t="str">
            <v>67S</v>
          </cell>
          <cell r="I59" t="str">
            <v>5PTG000287XAB67S</v>
          </cell>
        </row>
        <row r="60">
          <cell r="G60" t="str">
            <v>杏瑞</v>
          </cell>
          <cell r="H60" t="str">
            <v>68L</v>
          </cell>
          <cell r="I60" t="str">
            <v>5PTG000454XAB68L</v>
          </cell>
        </row>
        <row r="61">
          <cell r="G61" t="str">
            <v>杏瑞</v>
          </cell>
          <cell r="H61" t="str">
            <v>69W</v>
          </cell>
          <cell r="I61" t="str">
            <v>5PTG000455XAB69W</v>
          </cell>
        </row>
        <row r="62">
          <cell r="G62" t="str">
            <v>裕隆C2032P</v>
          </cell>
          <cell r="H62" t="str">
            <v>6CL</v>
          </cell>
          <cell r="I62" t="str">
            <v>5PTG000146XAB6CL</v>
          </cell>
        </row>
        <row r="63">
          <cell r="G63" t="str">
            <v>車美仕</v>
          </cell>
          <cell r="H63" t="str">
            <v>6HA</v>
          </cell>
          <cell r="I63" t="str">
            <v>5PTG000029XAB6HA</v>
          </cell>
        </row>
        <row r="64">
          <cell r="G64" t="str">
            <v>台灣本田</v>
          </cell>
          <cell r="H64" t="str">
            <v>6QS</v>
          </cell>
          <cell r="I64" t="str">
            <v>5PTG000102XAB6QS</v>
          </cell>
        </row>
        <row r="65">
          <cell r="H65" t="str">
            <v>6RR</v>
          </cell>
          <cell r="I65" t="str">
            <v>5PTG000085XAB6RR</v>
          </cell>
        </row>
        <row r="66">
          <cell r="G66" t="str">
            <v>THW</v>
          </cell>
          <cell r="H66" t="str">
            <v>6TL</v>
          </cell>
          <cell r="I66" t="str">
            <v>5PTG000105XAB6TL</v>
          </cell>
        </row>
        <row r="67">
          <cell r="H67" t="str">
            <v>6VL</v>
          </cell>
          <cell r="I67" t="str">
            <v>5PTG000106XAB6VL</v>
          </cell>
        </row>
        <row r="68">
          <cell r="G68" t="str">
            <v>台灣本田</v>
          </cell>
          <cell r="H68" t="str">
            <v>6ZL</v>
          </cell>
          <cell r="I68" t="str">
            <v>5PTG000142XAB6ZL</v>
          </cell>
        </row>
        <row r="69">
          <cell r="G69" t="str">
            <v>MAZDA</v>
          </cell>
          <cell r="H69" t="str">
            <v>70A</v>
          </cell>
          <cell r="I69" t="str">
            <v>5PTG000331XAB70A</v>
          </cell>
        </row>
        <row r="70">
          <cell r="G70" t="str">
            <v>車美仕</v>
          </cell>
          <cell r="H70" t="str">
            <v>71A</v>
          </cell>
          <cell r="I70" t="str">
            <v>5PTG000029XAB6HA</v>
          </cell>
        </row>
        <row r="71">
          <cell r="G71" t="str">
            <v>MAZDA</v>
          </cell>
          <cell r="H71" t="str">
            <v>72A</v>
          </cell>
          <cell r="I71" t="str">
            <v>5PTG000367XAB72A</v>
          </cell>
        </row>
        <row r="72">
          <cell r="G72" t="str">
            <v>國瑞</v>
          </cell>
          <cell r="H72" t="str">
            <v>75W</v>
          </cell>
          <cell r="I72" t="str">
            <v>5PTG000459XAB75W</v>
          </cell>
        </row>
        <row r="73">
          <cell r="G73" t="str">
            <v>國瑞</v>
          </cell>
          <cell r="H73" t="str">
            <v>76S</v>
          </cell>
          <cell r="I73" t="str">
            <v>5PTG000460XAB76S</v>
          </cell>
        </row>
        <row r="74">
          <cell r="H74" t="str">
            <v>77L</v>
          </cell>
          <cell r="I74" t="str">
            <v>5PTG000324XAB77L</v>
          </cell>
        </row>
        <row r="75">
          <cell r="G75" t="str">
            <v>國瑞</v>
          </cell>
          <cell r="H75" t="str">
            <v>78A</v>
          </cell>
          <cell r="I75" t="str">
            <v>5PTG000461XAB78A</v>
          </cell>
        </row>
        <row r="76">
          <cell r="G76" t="str">
            <v>台灣本田</v>
          </cell>
          <cell r="H76" t="str">
            <v>7FB</v>
          </cell>
          <cell r="I76" t="str">
            <v>5PTG000162XAB7FB</v>
          </cell>
        </row>
        <row r="77">
          <cell r="H77" t="str">
            <v>7MR</v>
          </cell>
          <cell r="I77" t="str">
            <v>5PTG000050XAB7MR</v>
          </cell>
        </row>
        <row r="78">
          <cell r="H78" t="str">
            <v>7PS</v>
          </cell>
          <cell r="I78" t="str">
            <v>5PTG000092XAB7PS</v>
          </cell>
        </row>
        <row r="79">
          <cell r="G79" t="str">
            <v>福特</v>
          </cell>
          <cell r="H79" t="str">
            <v>7SA</v>
          </cell>
          <cell r="I79" t="str">
            <v>5PTG000222XAB7SA</v>
          </cell>
        </row>
        <row r="80">
          <cell r="G80" t="str">
            <v>台灣本田</v>
          </cell>
          <cell r="H80" t="str">
            <v>7TB</v>
          </cell>
          <cell r="I80" t="str">
            <v>5PTG000044XAB7TB</v>
          </cell>
        </row>
        <row r="81">
          <cell r="G81" t="str">
            <v>THW</v>
          </cell>
          <cell r="H81" t="str">
            <v>7UB</v>
          </cell>
          <cell r="I81" t="str">
            <v>5PTG000117XAB7UB</v>
          </cell>
        </row>
        <row r="82">
          <cell r="G82" t="str">
            <v>車美仕</v>
          </cell>
          <cell r="H82" t="str">
            <v>81B</v>
          </cell>
          <cell r="I82" t="str">
            <v>5PTG000318XAB81B</v>
          </cell>
        </row>
        <row r="83">
          <cell r="H83" t="str">
            <v>82W</v>
          </cell>
          <cell r="I83" t="str">
            <v>5PTG000322XAB82W</v>
          </cell>
        </row>
        <row r="84">
          <cell r="G84" t="str">
            <v>MAZDA</v>
          </cell>
          <cell r="H84" t="str">
            <v>83L</v>
          </cell>
          <cell r="I84" t="str">
            <v>5PTG000370XAB83L</v>
          </cell>
        </row>
        <row r="85">
          <cell r="G85" t="str">
            <v>國瑞</v>
          </cell>
          <cell r="H85" t="str">
            <v>84B</v>
          </cell>
          <cell r="I85" t="str">
            <v>5PTG000462XAB84B</v>
          </cell>
        </row>
        <row r="86">
          <cell r="G86" t="str">
            <v>台灣本田</v>
          </cell>
          <cell r="H86" t="str">
            <v>85L</v>
          </cell>
          <cell r="I86" t="str">
            <v>5PTG000380XAB85L</v>
          </cell>
        </row>
        <row r="87">
          <cell r="G87" t="str">
            <v>國瑞</v>
          </cell>
          <cell r="H87" t="str">
            <v>87L</v>
          </cell>
          <cell r="I87" t="str">
            <v>5PTG000463XAB87L</v>
          </cell>
        </row>
        <row r="88">
          <cell r="G88" t="str">
            <v>國瑞</v>
          </cell>
          <cell r="H88" t="str">
            <v>88S</v>
          </cell>
          <cell r="I88" t="str">
            <v>5PTG000465XAB88S</v>
          </cell>
        </row>
        <row r="89">
          <cell r="G89" t="str">
            <v>國瑞</v>
          </cell>
          <cell r="H89" t="str">
            <v>89L</v>
          </cell>
          <cell r="I89" t="str">
            <v>5PTG000466XAB89L</v>
          </cell>
        </row>
        <row r="90">
          <cell r="H90" t="str">
            <v>8FS</v>
          </cell>
          <cell r="I90" t="str">
            <v>5PTG000074XAB8FS</v>
          </cell>
        </row>
        <row r="91">
          <cell r="G91" t="str">
            <v>THW</v>
          </cell>
          <cell r="H91" t="str">
            <v>8LL</v>
          </cell>
          <cell r="I91" t="str">
            <v>5PTG000099XAB8LL</v>
          </cell>
        </row>
        <row r="92">
          <cell r="G92" t="str">
            <v>台灣本田</v>
          </cell>
          <cell r="H92" t="str">
            <v>8XR</v>
          </cell>
          <cell r="I92" t="str">
            <v>5PTG000133XAB8XR</v>
          </cell>
        </row>
        <row r="93">
          <cell r="H93" t="str">
            <v>91A</v>
          </cell>
          <cell r="I93" t="str">
            <v>5PTG000173XAB91A</v>
          </cell>
        </row>
        <row r="94">
          <cell r="G94" t="str">
            <v>福特</v>
          </cell>
          <cell r="H94" t="str">
            <v>92A</v>
          </cell>
          <cell r="I94" t="str">
            <v>5PTG000154XAB92A</v>
          </cell>
        </row>
        <row r="95">
          <cell r="G95" t="str">
            <v>國瑞</v>
          </cell>
          <cell r="H95" t="str">
            <v>93O</v>
          </cell>
          <cell r="I95" t="str">
            <v>5PTG000464XAB93O</v>
          </cell>
        </row>
        <row r="96">
          <cell r="G96" t="str">
            <v>福特</v>
          </cell>
          <cell r="H96" t="str">
            <v>94S</v>
          </cell>
          <cell r="I96" t="str">
            <v>5PTG000167XAB94S</v>
          </cell>
        </row>
        <row r="97">
          <cell r="G97" t="str">
            <v>車美仕</v>
          </cell>
          <cell r="H97" t="str">
            <v>95N</v>
          </cell>
          <cell r="I97" t="str">
            <v>5PTG000467XAB95N</v>
          </cell>
        </row>
        <row r="98">
          <cell r="G98" t="str">
            <v>台灣本田</v>
          </cell>
          <cell r="H98" t="str">
            <v>96B</v>
          </cell>
          <cell r="I98" t="str">
            <v>5PTG000433XAB96B</v>
          </cell>
        </row>
        <row r="99">
          <cell r="G99" t="str">
            <v>台灣本田</v>
          </cell>
          <cell r="H99" t="str">
            <v>97S</v>
          </cell>
          <cell r="I99" t="str">
            <v>5PTG000320XAB97S</v>
          </cell>
        </row>
        <row r="100">
          <cell r="G100" t="str">
            <v>杏瑞</v>
          </cell>
          <cell r="H100" t="str">
            <v>98L</v>
          </cell>
          <cell r="I100" t="str">
            <v>5PTG000469XAB98L</v>
          </cell>
        </row>
        <row r="101">
          <cell r="H101" t="str">
            <v>99B</v>
          </cell>
          <cell r="I101" t="str">
            <v>5PTG000233XAB99B</v>
          </cell>
        </row>
        <row r="102">
          <cell r="H102" t="str">
            <v>9CG</v>
          </cell>
          <cell r="I102" t="str">
            <v>5PTG000172XAB9CG</v>
          </cell>
        </row>
        <row r="103">
          <cell r="G103" t="str">
            <v>台灣本田</v>
          </cell>
          <cell r="H103" t="str">
            <v>9DB</v>
          </cell>
          <cell r="I103" t="str">
            <v>5PTG000150XAB9DB</v>
          </cell>
        </row>
        <row r="104">
          <cell r="H104" t="str">
            <v>9ML</v>
          </cell>
          <cell r="I104" t="str">
            <v>5PTG000152XAB9ML</v>
          </cell>
        </row>
        <row r="105">
          <cell r="H105" t="str">
            <v>9NN</v>
          </cell>
          <cell r="I105" t="str">
            <v>5PTG000157XAB9NN</v>
          </cell>
        </row>
        <row r="106">
          <cell r="H106" t="str">
            <v>9QZ</v>
          </cell>
          <cell r="I106" t="str">
            <v>5PTG000164XAB9QZ</v>
          </cell>
        </row>
        <row r="107">
          <cell r="H107" t="str">
            <v>9RR</v>
          </cell>
          <cell r="I107" t="str">
            <v>5PTG000165XAB9RR</v>
          </cell>
        </row>
        <row r="108">
          <cell r="H108" t="str">
            <v>9WG</v>
          </cell>
          <cell r="I108" t="str">
            <v>5PTG000183XAB9WG</v>
          </cell>
        </row>
        <row r="109">
          <cell r="H109" t="str">
            <v>9XS</v>
          </cell>
          <cell r="I109" t="str">
            <v>5PTG000185XAB9XS</v>
          </cell>
        </row>
        <row r="110">
          <cell r="H110" t="str">
            <v>9YN</v>
          </cell>
          <cell r="I110" t="str">
            <v>5PTG000181XAB9YN</v>
          </cell>
        </row>
        <row r="111">
          <cell r="G111" t="str">
            <v>THW</v>
          </cell>
          <cell r="H111" t="str">
            <v>9ZZ</v>
          </cell>
          <cell r="I111" t="str">
            <v>5PTG000182XAB9ZZ</v>
          </cell>
        </row>
        <row r="112">
          <cell r="G112" t="str">
            <v>福特</v>
          </cell>
          <cell r="H112" t="str">
            <v>A0T</v>
          </cell>
          <cell r="I112" t="str">
            <v>5PTG000503XAA00X</v>
          </cell>
        </row>
        <row r="113">
          <cell r="H113" t="str">
            <v>A1L</v>
          </cell>
          <cell r="I113" t="str">
            <v>5PTG000189XABA1L</v>
          </cell>
        </row>
        <row r="114">
          <cell r="G114" t="str">
            <v>台灣本田</v>
          </cell>
          <cell r="H114" t="str">
            <v>A3W</v>
          </cell>
          <cell r="I114" t="str">
            <v>5PTG000190XABA3W</v>
          </cell>
        </row>
        <row r="115">
          <cell r="H115" t="str">
            <v>A4A</v>
          </cell>
          <cell r="I115" t="str">
            <v>5PTG000009XABA4A</v>
          </cell>
        </row>
        <row r="116">
          <cell r="H116" t="str">
            <v>A7G</v>
          </cell>
          <cell r="I116" t="str">
            <v>5PTG000198XABA7G</v>
          </cell>
        </row>
        <row r="117">
          <cell r="G117" t="str">
            <v>三陽</v>
          </cell>
          <cell r="H117" t="str">
            <v>AAW</v>
          </cell>
          <cell r="I117" t="str">
            <v>5PTG000008XABAAW</v>
          </cell>
        </row>
        <row r="118">
          <cell r="G118" t="str">
            <v>台灣本田</v>
          </cell>
          <cell r="H118" t="str">
            <v>ACS</v>
          </cell>
          <cell r="I118" t="str">
            <v>5PTG000036XABACS</v>
          </cell>
        </row>
        <row r="119">
          <cell r="G119" t="str">
            <v>台灣本田</v>
          </cell>
          <cell r="H119" t="str">
            <v>ADB</v>
          </cell>
          <cell r="I119" t="str">
            <v>5PTG000066XABADB</v>
          </cell>
        </row>
        <row r="120">
          <cell r="G120" t="str">
            <v>福特</v>
          </cell>
          <cell r="H120" t="str">
            <v>AFW</v>
          </cell>
          <cell r="I120" t="str">
            <v>5PTG000176XABAFW</v>
          </cell>
        </row>
        <row r="121">
          <cell r="G121" t="str">
            <v>福特</v>
          </cell>
          <cell r="H121" t="str">
            <v>AHR</v>
          </cell>
          <cell r="I121" t="str">
            <v>5PTG000188XABAHR</v>
          </cell>
        </row>
        <row r="122">
          <cell r="G122" t="str">
            <v>台灣本田</v>
          </cell>
          <cell r="H122" t="str">
            <v>AJW</v>
          </cell>
          <cell r="I122" t="str">
            <v>5PTG000192XABAJW</v>
          </cell>
        </row>
        <row r="123">
          <cell r="G123" t="str">
            <v>台灣本田</v>
          </cell>
          <cell r="H123" t="str">
            <v>AMO</v>
          </cell>
          <cell r="I123" t="str">
            <v>5PTG000199XABAMO</v>
          </cell>
        </row>
        <row r="124">
          <cell r="G124" t="str">
            <v>THW</v>
          </cell>
          <cell r="H124" t="str">
            <v>ANB</v>
          </cell>
          <cell r="I124" t="str">
            <v>5PTG000208XABANB</v>
          </cell>
        </row>
        <row r="125">
          <cell r="G125" t="str">
            <v>THW</v>
          </cell>
          <cell r="H125" t="str">
            <v>AQG</v>
          </cell>
          <cell r="I125" t="str">
            <v>5PTG000209XABAQG</v>
          </cell>
        </row>
        <row r="126">
          <cell r="G126" t="str">
            <v>台灣本田</v>
          </cell>
          <cell r="H126" t="str">
            <v>ASZ</v>
          </cell>
          <cell r="I126" t="str">
            <v>5PTG000220XABASZ</v>
          </cell>
        </row>
        <row r="127">
          <cell r="G127" t="str">
            <v>THW</v>
          </cell>
          <cell r="H127" t="str">
            <v>ATL</v>
          </cell>
          <cell r="I127" t="str">
            <v>5PTG000221XABATL</v>
          </cell>
        </row>
        <row r="128">
          <cell r="G128" t="str">
            <v>福特</v>
          </cell>
          <cell r="H128" t="str">
            <v>AVL</v>
          </cell>
          <cell r="I128" t="str">
            <v>5PTG000175XABAVL</v>
          </cell>
        </row>
        <row r="129">
          <cell r="G129" t="str">
            <v>THW</v>
          </cell>
          <cell r="H129" t="str">
            <v>AWO</v>
          </cell>
          <cell r="I129" t="str">
            <v>5PTG000235XABAWO</v>
          </cell>
        </row>
        <row r="130">
          <cell r="G130" t="str">
            <v>台灣本田</v>
          </cell>
          <cell r="H130" t="str">
            <v>AYA</v>
          </cell>
          <cell r="I130" t="str">
            <v>5PTG000246XABAYA</v>
          </cell>
        </row>
        <row r="131">
          <cell r="G131" t="str">
            <v>台灣本田</v>
          </cell>
          <cell r="H131" t="str">
            <v>B2L</v>
          </cell>
          <cell r="I131" t="str">
            <v>5PTG000247XABB2L</v>
          </cell>
        </row>
        <row r="132">
          <cell r="G132" t="str">
            <v>台灣本田</v>
          </cell>
          <cell r="H132" t="str">
            <v>B5G</v>
          </cell>
          <cell r="I132" t="str">
            <v>5PTG000245XABB5G</v>
          </cell>
        </row>
        <row r="133">
          <cell r="G133" t="str">
            <v>裕隆C2032P</v>
          </cell>
          <cell r="H133" t="str">
            <v>B6L</v>
          </cell>
          <cell r="I133" t="str">
            <v>5PTG000159XABB6L</v>
          </cell>
        </row>
        <row r="134">
          <cell r="G134" t="str">
            <v>台灣本田</v>
          </cell>
          <cell r="H134" t="str">
            <v>B7S</v>
          </cell>
          <cell r="I134" t="str">
            <v>5PTG000257XABB7S</v>
          </cell>
        </row>
        <row r="135">
          <cell r="G135" t="str">
            <v>車美仕</v>
          </cell>
          <cell r="H135" t="str">
            <v>B8A</v>
          </cell>
          <cell r="I135" t="str">
            <v>5PTG000258XABB8A</v>
          </cell>
        </row>
        <row r="136">
          <cell r="G136" t="str">
            <v>台灣本田</v>
          </cell>
          <cell r="H136" t="str">
            <v>B9R</v>
          </cell>
          <cell r="I136" t="str">
            <v>5PTG000259XABB9R</v>
          </cell>
        </row>
        <row r="137">
          <cell r="G137" t="str">
            <v>台灣本田</v>
          </cell>
          <cell r="H137" t="str">
            <v>BAL</v>
          </cell>
          <cell r="I137" t="str">
            <v>5PTG000055XABBAL</v>
          </cell>
        </row>
        <row r="138">
          <cell r="G138" t="str">
            <v>福特</v>
          </cell>
          <cell r="H138" t="str">
            <v>BCR</v>
          </cell>
          <cell r="I138" t="str">
            <v>5PTG000177XABBCR</v>
          </cell>
        </row>
        <row r="139">
          <cell r="G139" t="str">
            <v>三陽</v>
          </cell>
          <cell r="H139" t="str">
            <v>BDL</v>
          </cell>
          <cell r="I139" t="str">
            <v>5PTG000260XABBDL</v>
          </cell>
        </row>
        <row r="140">
          <cell r="G140" t="str">
            <v>台灣本田</v>
          </cell>
          <cell r="H140" t="str">
            <v>BEN</v>
          </cell>
          <cell r="I140" t="str">
            <v>5PTG000256XABBEN</v>
          </cell>
        </row>
        <row r="141">
          <cell r="G141" t="str">
            <v>台灣本田</v>
          </cell>
          <cell r="H141" t="str">
            <v>BHR</v>
          </cell>
          <cell r="I141" t="str">
            <v>5PTG000263XABBHR</v>
          </cell>
        </row>
        <row r="142">
          <cell r="H142" t="str">
            <v>BHX</v>
          </cell>
        </row>
        <row r="143">
          <cell r="G143" t="str">
            <v>福特</v>
          </cell>
          <cell r="H143" t="str">
            <v>BLL</v>
          </cell>
          <cell r="I143" t="str">
            <v>5PTG000196XABBLL</v>
          </cell>
        </row>
        <row r="144">
          <cell r="G144" t="str">
            <v>三陽</v>
          </cell>
          <cell r="H144" t="str">
            <v>BNL</v>
          </cell>
          <cell r="I144" t="str">
            <v>5PTG000161XABBNL</v>
          </cell>
        </row>
        <row r="145">
          <cell r="G145" t="str">
            <v>福特</v>
          </cell>
          <cell r="H145" t="str">
            <v>BPB</v>
          </cell>
          <cell r="I145" t="str">
            <v>5PTG000187XABBPB</v>
          </cell>
        </row>
        <row r="146">
          <cell r="G146" t="str">
            <v>台灣本田</v>
          </cell>
          <cell r="H146" t="str">
            <v>BQN</v>
          </cell>
          <cell r="I146" t="str">
            <v>5PTG000264XABBQN</v>
          </cell>
        </row>
        <row r="147">
          <cell r="G147" t="str">
            <v>台灣本田</v>
          </cell>
          <cell r="H147" t="str">
            <v>BRA</v>
          </cell>
          <cell r="I147" t="str">
            <v>5PTG000269XABBRA</v>
          </cell>
        </row>
        <row r="148">
          <cell r="G148" t="str">
            <v>台灣本田</v>
          </cell>
          <cell r="H148" t="str">
            <v>BSS</v>
          </cell>
          <cell r="I148" t="str">
            <v>5PTG000270XABBSS</v>
          </cell>
        </row>
        <row r="149">
          <cell r="G149" t="str">
            <v>THW</v>
          </cell>
          <cell r="H149" t="str">
            <v>BTG</v>
          </cell>
          <cell r="I149" t="str">
            <v>5PTG000275XABBTG</v>
          </cell>
        </row>
        <row r="150">
          <cell r="G150" t="str">
            <v>三陽</v>
          </cell>
          <cell r="H150" t="str">
            <v>BUL</v>
          </cell>
          <cell r="I150" t="str">
            <v>5PTG000174XABBUL</v>
          </cell>
        </row>
        <row r="151">
          <cell r="G151" t="str">
            <v>三陽</v>
          </cell>
          <cell r="H151" t="str">
            <v>BYL</v>
          </cell>
          <cell r="I151" t="str">
            <v>5PTG000330XABBYL</v>
          </cell>
        </row>
        <row r="152">
          <cell r="G152" t="str">
            <v>三陽</v>
          </cell>
          <cell r="H152" t="str">
            <v>BZB</v>
          </cell>
          <cell r="I152" t="str">
            <v>5PTG000005XABBZB</v>
          </cell>
        </row>
        <row r="153">
          <cell r="G153" t="str">
            <v>台灣本田</v>
          </cell>
          <cell r="H153" t="str">
            <v>C2R</v>
          </cell>
          <cell r="I153" t="str">
            <v>5PTG000278XABC2R</v>
          </cell>
        </row>
        <row r="154">
          <cell r="G154" t="str">
            <v>台灣本田</v>
          </cell>
          <cell r="H154" t="str">
            <v>C4L</v>
          </cell>
          <cell r="I154" t="str">
            <v>5PTG000279XABC4L</v>
          </cell>
        </row>
        <row r="155">
          <cell r="G155" t="str">
            <v>台灣本田</v>
          </cell>
          <cell r="H155" t="str">
            <v>C5L</v>
          </cell>
          <cell r="I155" t="str">
            <v>5PTG000280XABC5L</v>
          </cell>
        </row>
        <row r="156">
          <cell r="G156" t="str">
            <v>MAZDA</v>
          </cell>
          <cell r="H156" t="str">
            <v>C7G</v>
          </cell>
          <cell r="I156" t="str">
            <v>5PTG000289XABC7G</v>
          </cell>
        </row>
        <row r="157">
          <cell r="G157" t="str">
            <v>台灣本田</v>
          </cell>
          <cell r="H157" t="str">
            <v>C8W</v>
          </cell>
          <cell r="I157" t="str">
            <v>5PTG000293XABC8W</v>
          </cell>
        </row>
        <row r="158">
          <cell r="G158" t="str">
            <v>台灣本田</v>
          </cell>
          <cell r="H158" t="str">
            <v>C9L</v>
          </cell>
          <cell r="I158" t="str">
            <v>5PTG000297XABC9L</v>
          </cell>
        </row>
        <row r="159">
          <cell r="G159" t="str">
            <v>台灣本田</v>
          </cell>
          <cell r="H159" t="str">
            <v>CAW</v>
          </cell>
          <cell r="I159" t="str">
            <v>5PTG000306XABCAW</v>
          </cell>
        </row>
        <row r="160">
          <cell r="G160" t="str">
            <v>台灣本田</v>
          </cell>
          <cell r="H160" t="str">
            <v>CCA</v>
          </cell>
          <cell r="I160" t="str">
            <v>5PTG000305XABCCA</v>
          </cell>
        </row>
        <row r="161">
          <cell r="G161" t="str">
            <v>台灣本田</v>
          </cell>
          <cell r="H161" t="str">
            <v>CEZ</v>
          </cell>
          <cell r="I161" t="str">
            <v>5PTG000303XABCEZ</v>
          </cell>
        </row>
        <row r="162">
          <cell r="G162" t="str">
            <v>台灣本田</v>
          </cell>
          <cell r="H162" t="str">
            <v>CFN</v>
          </cell>
          <cell r="I162" t="str">
            <v>5PTG000304XABCFN</v>
          </cell>
        </row>
        <row r="163">
          <cell r="G163" t="str">
            <v>台灣本田</v>
          </cell>
          <cell r="H163" t="str">
            <v>CGL</v>
          </cell>
          <cell r="I163" t="str">
            <v>5PTG000301XABCGL</v>
          </cell>
        </row>
        <row r="164">
          <cell r="G164" t="str">
            <v>台灣本田</v>
          </cell>
          <cell r="H164" t="str">
            <v>CHW</v>
          </cell>
          <cell r="I164" t="str">
            <v>5PTG000311XABCHW</v>
          </cell>
        </row>
        <row r="165">
          <cell r="G165" t="str">
            <v>台灣本田</v>
          </cell>
          <cell r="H165" t="str">
            <v>CJL</v>
          </cell>
          <cell r="I165" t="str">
            <v>5PTG000312XABCJL</v>
          </cell>
        </row>
        <row r="166">
          <cell r="G166" t="str">
            <v>台灣本田</v>
          </cell>
          <cell r="H166" t="str">
            <v>CKA</v>
          </cell>
          <cell r="I166" t="str">
            <v>5PTG000308XABCKA</v>
          </cell>
        </row>
        <row r="167">
          <cell r="G167" t="str">
            <v>台灣本田</v>
          </cell>
          <cell r="H167" t="str">
            <v>CLL</v>
          </cell>
          <cell r="I167" t="str">
            <v>5PTG000313XABCLL</v>
          </cell>
        </row>
        <row r="168">
          <cell r="G168" t="str">
            <v>台灣本田</v>
          </cell>
          <cell r="H168" t="str">
            <v>CMR</v>
          </cell>
          <cell r="I168" t="str">
            <v>5PTG000314XABCMR</v>
          </cell>
        </row>
        <row r="169">
          <cell r="G169" t="str">
            <v>台灣本田</v>
          </cell>
          <cell r="H169" t="str">
            <v>CNN</v>
          </cell>
          <cell r="I169" t="str">
            <v>5PTG000315XABCNN</v>
          </cell>
        </row>
        <row r="170">
          <cell r="G170" t="str">
            <v>台灣本田</v>
          </cell>
          <cell r="H170" t="str">
            <v>CPN</v>
          </cell>
          <cell r="I170" t="str">
            <v>5PTG000302XABCPN</v>
          </cell>
        </row>
        <row r="171">
          <cell r="G171" t="str">
            <v>台灣本田</v>
          </cell>
          <cell r="H171" t="str">
            <v>CSR</v>
          </cell>
          <cell r="I171" t="str">
            <v>5PTG000316XABCSR</v>
          </cell>
        </row>
        <row r="172">
          <cell r="G172" t="str">
            <v>台灣本田</v>
          </cell>
          <cell r="H172" t="str">
            <v>CTR</v>
          </cell>
          <cell r="I172" t="str">
            <v>5PTG000317XABCTR</v>
          </cell>
        </row>
        <row r="173">
          <cell r="G173" t="str">
            <v>台灣本田</v>
          </cell>
          <cell r="H173" t="str">
            <v>CUB</v>
          </cell>
          <cell r="I173" t="str">
            <v>5PTG000327XABCUB</v>
          </cell>
        </row>
        <row r="174">
          <cell r="G174" t="str">
            <v>台灣本田</v>
          </cell>
          <cell r="H174" t="str">
            <v>CVP</v>
          </cell>
          <cell r="I174" t="str">
            <v>5PTG000328XABCVP</v>
          </cell>
        </row>
        <row r="175">
          <cell r="G175" t="str">
            <v>台灣本田</v>
          </cell>
          <cell r="H175" t="str">
            <v>CWW</v>
          </cell>
          <cell r="I175" t="str">
            <v>5PTG000326XABCWW</v>
          </cell>
        </row>
        <row r="176">
          <cell r="G176" t="str">
            <v>杏瑞</v>
          </cell>
          <cell r="H176" t="str">
            <v>CXB</v>
          </cell>
          <cell r="I176" t="str">
            <v>5PTG000345XABCXB</v>
          </cell>
        </row>
        <row r="177">
          <cell r="G177" t="str">
            <v>杏瑞</v>
          </cell>
          <cell r="H177" t="str">
            <v>CYW</v>
          </cell>
          <cell r="I177" t="str">
            <v>5PTG000351XABCYW</v>
          </cell>
        </row>
        <row r="178">
          <cell r="G178" t="str">
            <v>杏瑞</v>
          </cell>
          <cell r="H178" t="str">
            <v>CZA</v>
          </cell>
          <cell r="I178" t="str">
            <v>5PTG000347XABCZA</v>
          </cell>
        </row>
        <row r="179">
          <cell r="G179" t="str">
            <v>杏瑞</v>
          </cell>
          <cell r="H179" t="str">
            <v>D2W</v>
          </cell>
          <cell r="I179" t="str">
            <v>5PTG000346XABD2W</v>
          </cell>
        </row>
        <row r="180">
          <cell r="G180" t="str">
            <v>杏瑞</v>
          </cell>
          <cell r="H180" t="str">
            <v>D3B</v>
          </cell>
          <cell r="I180" t="str">
            <v>5PTG000341XABD3B</v>
          </cell>
        </row>
        <row r="181">
          <cell r="G181" t="str">
            <v>MAZDA</v>
          </cell>
          <cell r="H181" t="str">
            <v>D4W</v>
          </cell>
          <cell r="I181" t="str">
            <v>5PTG000286XABD4W</v>
          </cell>
        </row>
        <row r="182">
          <cell r="G182" t="str">
            <v>杏瑞</v>
          </cell>
          <cell r="H182" t="str">
            <v>D5A</v>
          </cell>
          <cell r="I182" t="str">
            <v>5PTG000340XABD5A</v>
          </cell>
        </row>
        <row r="183">
          <cell r="G183" t="str">
            <v>杏瑞</v>
          </cell>
          <cell r="H183" t="str">
            <v>D6S</v>
          </cell>
          <cell r="I183" t="str">
            <v>5PTG000353XABD6S</v>
          </cell>
        </row>
        <row r="184">
          <cell r="G184" t="str">
            <v>杏瑞</v>
          </cell>
          <cell r="H184" t="str">
            <v>D7L</v>
          </cell>
          <cell r="I184" t="str">
            <v>5PTG000337XABD7L</v>
          </cell>
        </row>
        <row r="185">
          <cell r="G185" t="str">
            <v>杏瑞</v>
          </cell>
          <cell r="H185" t="str">
            <v>D8L</v>
          </cell>
          <cell r="I185" t="str">
            <v>5PTG000352XABD8L</v>
          </cell>
        </row>
        <row r="186">
          <cell r="G186" t="str">
            <v>杏瑞</v>
          </cell>
          <cell r="H186" t="str">
            <v>D9R</v>
          </cell>
          <cell r="I186" t="str">
            <v>5PTG000343XABD9R</v>
          </cell>
        </row>
        <row r="187">
          <cell r="G187" t="str">
            <v>杏瑞</v>
          </cell>
          <cell r="H187" t="str">
            <v>DAA</v>
          </cell>
          <cell r="I187" t="str">
            <v>5PTG000339XABDAA</v>
          </cell>
        </row>
        <row r="188">
          <cell r="G188" t="str">
            <v>MAZDA</v>
          </cell>
          <cell r="H188" t="str">
            <v>DBL</v>
          </cell>
          <cell r="I188" t="str">
            <v>5PTG000310XABDBL</v>
          </cell>
        </row>
        <row r="189">
          <cell r="G189" t="str">
            <v>杏瑞</v>
          </cell>
          <cell r="H189" t="str">
            <v>DCW</v>
          </cell>
          <cell r="I189" t="str">
            <v>5PTG000350XABDCW</v>
          </cell>
        </row>
        <row r="190">
          <cell r="G190" t="str">
            <v>杏瑞</v>
          </cell>
          <cell r="H190" t="str">
            <v>DDW</v>
          </cell>
          <cell r="I190" t="str">
            <v>5PTG000354XABDDW</v>
          </cell>
        </row>
        <row r="191">
          <cell r="G191" t="str">
            <v>杏瑞</v>
          </cell>
          <cell r="H191" t="str">
            <v>DES</v>
          </cell>
          <cell r="I191" t="str">
            <v>5PTG000338XABDES</v>
          </cell>
        </row>
        <row r="192">
          <cell r="G192" t="str">
            <v>杏瑞</v>
          </cell>
          <cell r="H192" t="str">
            <v>DFG</v>
          </cell>
          <cell r="I192" t="str">
            <v>5PTG000349XABDFG</v>
          </cell>
        </row>
        <row r="193">
          <cell r="G193" t="str">
            <v>杏瑞</v>
          </cell>
          <cell r="H193" t="str">
            <v>DGR</v>
          </cell>
          <cell r="I193" t="str">
            <v>5PTG000342XABDGR</v>
          </cell>
        </row>
        <row r="194">
          <cell r="G194" t="str">
            <v>杏瑞</v>
          </cell>
          <cell r="H194" t="str">
            <v>DHL</v>
          </cell>
          <cell r="I194" t="str">
            <v>5PTG000348XABDHL</v>
          </cell>
        </row>
        <row r="195">
          <cell r="G195" t="str">
            <v>杏瑞</v>
          </cell>
          <cell r="H195" t="str">
            <v>DJP</v>
          </cell>
          <cell r="I195" t="str">
            <v>5PTG000344XABDJP</v>
          </cell>
        </row>
        <row r="196">
          <cell r="G196" t="str">
            <v>杏瑞</v>
          </cell>
          <cell r="H196" t="str">
            <v>DKW</v>
          </cell>
          <cell r="I196" t="str">
            <v>5PTG000360XABDKW</v>
          </cell>
        </row>
        <row r="197">
          <cell r="G197" t="str">
            <v>杏瑞</v>
          </cell>
          <cell r="H197" t="str">
            <v>DLY</v>
          </cell>
          <cell r="I197" t="str">
            <v>5PTG000361XABDLY</v>
          </cell>
        </row>
        <row r="198">
          <cell r="G198" t="str">
            <v>杏瑞</v>
          </cell>
          <cell r="H198" t="str">
            <v>DMS</v>
          </cell>
          <cell r="I198" t="str">
            <v>5PTG000356XABDMS</v>
          </cell>
        </row>
        <row r="199">
          <cell r="G199" t="str">
            <v>杏瑞</v>
          </cell>
          <cell r="H199" t="str">
            <v>DNN</v>
          </cell>
          <cell r="I199" t="str">
            <v>5PTG000355XABDNN</v>
          </cell>
        </row>
        <row r="200">
          <cell r="G200" t="str">
            <v>車美仕</v>
          </cell>
          <cell r="H200" t="str">
            <v>DPW</v>
          </cell>
          <cell r="I200" t="str">
            <v>5PTG000332XABDPW</v>
          </cell>
        </row>
        <row r="201">
          <cell r="G201" t="str">
            <v>車美仕</v>
          </cell>
          <cell r="H201" t="str">
            <v>DQS</v>
          </cell>
          <cell r="I201" t="str">
            <v>5PTG000334XABDQS</v>
          </cell>
        </row>
        <row r="202">
          <cell r="G202" t="str">
            <v>車美仕</v>
          </cell>
          <cell r="H202" t="str">
            <v>DRR</v>
          </cell>
          <cell r="I202" t="str">
            <v>5PTG000335XABDRR</v>
          </cell>
        </row>
        <row r="203">
          <cell r="G203" t="str">
            <v>杏瑞</v>
          </cell>
          <cell r="H203" t="str">
            <v>DSS</v>
          </cell>
          <cell r="I203" t="str">
            <v>5PTG000358XABDSS</v>
          </cell>
        </row>
        <row r="204">
          <cell r="G204" t="str">
            <v>杏瑞</v>
          </cell>
          <cell r="H204" t="str">
            <v>DTN</v>
          </cell>
          <cell r="I204" t="str">
            <v>5PTG000359XABDTN</v>
          </cell>
        </row>
        <row r="205">
          <cell r="G205" t="str">
            <v>杏瑞</v>
          </cell>
          <cell r="H205" t="str">
            <v>DUW</v>
          </cell>
          <cell r="I205" t="str">
            <v>5PTG000357XABDUW</v>
          </cell>
        </row>
        <row r="206">
          <cell r="G206" t="str">
            <v>台灣本田</v>
          </cell>
          <cell r="H206" t="str">
            <v>DVA</v>
          </cell>
          <cell r="I206" t="str">
            <v>5PTG000362XABDVA</v>
          </cell>
        </row>
        <row r="207">
          <cell r="G207" t="str">
            <v>台灣本田</v>
          </cell>
          <cell r="H207" t="str">
            <v>DWL</v>
          </cell>
          <cell r="I207" t="str">
            <v>5PTG000363XABDWL</v>
          </cell>
        </row>
        <row r="208">
          <cell r="G208" t="str">
            <v>台灣本田</v>
          </cell>
          <cell r="H208" t="str">
            <v>DXG</v>
          </cell>
          <cell r="I208" t="str">
            <v>5PTG000372XABDXG</v>
          </cell>
        </row>
        <row r="209">
          <cell r="G209" t="str">
            <v>車美仕</v>
          </cell>
          <cell r="H209" t="str">
            <v>E1N</v>
          </cell>
          <cell r="I209" t="str">
            <v>5PTG000059XABE1N</v>
          </cell>
        </row>
        <row r="210">
          <cell r="G210" t="str">
            <v>車美仕</v>
          </cell>
          <cell r="H210" t="str">
            <v>E2Y</v>
          </cell>
          <cell r="I210" t="str">
            <v>5PTG000053XABE2Y</v>
          </cell>
        </row>
        <row r="211">
          <cell r="G211" t="str">
            <v>台灣本田</v>
          </cell>
          <cell r="H211" t="str">
            <v>E3L</v>
          </cell>
          <cell r="I211" t="str">
            <v>5PTG000366XABE3L</v>
          </cell>
        </row>
        <row r="212">
          <cell r="G212" t="str">
            <v>台灣本田</v>
          </cell>
          <cell r="H212" t="str">
            <v>E4N</v>
          </cell>
          <cell r="I212" t="str">
            <v>5PTG000373XABE4N</v>
          </cell>
        </row>
        <row r="213">
          <cell r="G213" t="str">
            <v>SAUD</v>
          </cell>
          <cell r="H213" t="str">
            <v>E7W</v>
          </cell>
          <cell r="I213" t="str">
            <v>5PTG000364XABE7W</v>
          </cell>
        </row>
        <row r="214">
          <cell r="G214" t="str">
            <v>車美仕</v>
          </cell>
          <cell r="H214" t="str">
            <v>E8L</v>
          </cell>
          <cell r="I214" t="str">
            <v>5PTG000333XABE8L</v>
          </cell>
        </row>
        <row r="215">
          <cell r="G215" t="str">
            <v>台灣本田</v>
          </cell>
          <cell r="H215" t="str">
            <v>ECB</v>
          </cell>
          <cell r="I215" t="str">
            <v>5PTG000400XABECB</v>
          </cell>
        </row>
        <row r="216">
          <cell r="G216" t="str">
            <v>台灣本田</v>
          </cell>
          <cell r="H216" t="str">
            <v>EDS</v>
          </cell>
          <cell r="I216" t="str">
            <v>5PTG000401XABEDS</v>
          </cell>
        </row>
        <row r="217">
          <cell r="G217" t="str">
            <v>台灣本田</v>
          </cell>
          <cell r="H217" t="str">
            <v>EEA</v>
          </cell>
          <cell r="I217" t="str">
            <v>5PTG000431XABEEA</v>
          </cell>
        </row>
        <row r="218">
          <cell r="G218" t="str">
            <v>台灣本田</v>
          </cell>
          <cell r="H218" t="str">
            <v>EGN</v>
          </cell>
          <cell r="I218" t="str">
            <v>5PTG000436XABEGN</v>
          </cell>
        </row>
        <row r="219">
          <cell r="G219" t="str">
            <v>MAZDA</v>
          </cell>
          <cell r="H219" t="str">
            <v>EHL</v>
          </cell>
          <cell r="I219" t="str">
            <v>5PTG000439XABEHL</v>
          </cell>
        </row>
        <row r="220">
          <cell r="G220" t="str">
            <v>台灣本田</v>
          </cell>
          <cell r="H220" t="str">
            <v>EJP</v>
          </cell>
          <cell r="I220" t="str">
            <v>5PTG000438XABEJP</v>
          </cell>
        </row>
        <row r="221">
          <cell r="G221" t="str">
            <v>THW</v>
          </cell>
          <cell r="H221" t="str">
            <v>EKW</v>
          </cell>
          <cell r="I221" t="str">
            <v>5PTG000441XABEKW</v>
          </cell>
        </row>
        <row r="222">
          <cell r="G222" t="str">
            <v>THW</v>
          </cell>
          <cell r="H222" t="str">
            <v>EQL</v>
          </cell>
          <cell r="I222" t="str">
            <v>5PTG000446XABEQL</v>
          </cell>
        </row>
        <row r="223">
          <cell r="G223" t="str">
            <v>THW</v>
          </cell>
          <cell r="H223" t="str">
            <v>ESL</v>
          </cell>
          <cell r="I223" t="str">
            <v>5PTG000471XABESL</v>
          </cell>
        </row>
        <row r="224">
          <cell r="G224" t="str">
            <v>裕器(北)</v>
          </cell>
          <cell r="H224" t="str">
            <v>ETA</v>
          </cell>
          <cell r="I224" t="str">
            <v>5PTG000281XABETA</v>
          </cell>
        </row>
        <row r="225">
          <cell r="G225" t="str">
            <v>三陽</v>
          </cell>
          <cell r="H225" t="str">
            <v>EUL</v>
          </cell>
          <cell r="I225" t="str">
            <v>5PTG000443XABEUL</v>
          </cell>
        </row>
        <row r="226">
          <cell r="G226" t="str">
            <v>THW</v>
          </cell>
          <cell r="H226" t="str">
            <v>EVN</v>
          </cell>
          <cell r="I226" t="str">
            <v>5PTG000472XABEVN</v>
          </cell>
        </row>
        <row r="227">
          <cell r="G227" t="str">
            <v>THW</v>
          </cell>
          <cell r="H227" t="str">
            <v>EZW</v>
          </cell>
          <cell r="I227" t="str">
            <v>5PTG000485XABEZW</v>
          </cell>
        </row>
        <row r="228">
          <cell r="G228" t="str">
            <v>台灣本田</v>
          </cell>
          <cell r="H228" t="str">
            <v>F2S</v>
          </cell>
          <cell r="I228" t="str">
            <v>5PTG000494XABF2S</v>
          </cell>
        </row>
        <row r="229">
          <cell r="G229" t="str">
            <v>聯昇電子</v>
          </cell>
          <cell r="H229" t="str">
            <v>F3R</v>
          </cell>
          <cell r="I229" t="str">
            <v>5PTG000486XABF3R</v>
          </cell>
        </row>
        <row r="230">
          <cell r="G230" t="str">
            <v>聯昇電子</v>
          </cell>
          <cell r="H230" t="str">
            <v>F5A</v>
          </cell>
          <cell r="I230" t="str">
            <v>5PTG000487XABF5A</v>
          </cell>
        </row>
        <row r="231">
          <cell r="G231" t="str">
            <v>裕隆</v>
          </cell>
          <cell r="H231" t="str">
            <v>F6G</v>
          </cell>
          <cell r="I231" t="str">
            <v>5PTG000496XABF6G</v>
          </cell>
        </row>
        <row r="232">
          <cell r="G232" t="str">
            <v>國瑞</v>
          </cell>
          <cell r="H232" t="str">
            <v>F7S</v>
          </cell>
          <cell r="I232" t="str">
            <v>5PTG000238XABF7S</v>
          </cell>
        </row>
        <row r="233">
          <cell r="G233" t="str">
            <v>車美仕</v>
          </cell>
          <cell r="H233" t="str">
            <v>F8A</v>
          </cell>
          <cell r="I233" t="str">
            <v>5PTG000206XABF8A</v>
          </cell>
        </row>
        <row r="234">
          <cell r="G234" t="str">
            <v>裕隆</v>
          </cell>
          <cell r="H234" t="str">
            <v>F9L</v>
          </cell>
          <cell r="I234" t="str">
            <v>5PTG000498XABF9L</v>
          </cell>
        </row>
        <row r="235">
          <cell r="H235" t="str">
            <v>FBT</v>
          </cell>
        </row>
        <row r="236">
          <cell r="G236" t="str">
            <v>裕隆</v>
          </cell>
          <cell r="H236" t="str">
            <v>FFL</v>
          </cell>
          <cell r="I236" t="str">
            <v>5PTG000497XABFFL</v>
          </cell>
        </row>
        <row r="237">
          <cell r="G237" t="str">
            <v>車美仕</v>
          </cell>
          <cell r="H237" t="str">
            <v>FHW</v>
          </cell>
          <cell r="I237" t="str">
            <v>5PTG000488XABFHW</v>
          </cell>
        </row>
        <row r="238">
          <cell r="G238" t="str">
            <v>車美仕</v>
          </cell>
          <cell r="H238" t="str">
            <v>FJS</v>
          </cell>
          <cell r="I238" t="str">
            <v>5PTG000489XABFJS</v>
          </cell>
        </row>
        <row r="239">
          <cell r="G239" t="str">
            <v>THW</v>
          </cell>
          <cell r="H239" t="str">
            <v>FKS</v>
          </cell>
          <cell r="I239" t="str">
            <v>5PTG000492XABFKS</v>
          </cell>
        </row>
        <row r="240">
          <cell r="G240" t="str">
            <v>台灣本田</v>
          </cell>
          <cell r="H240" t="str">
            <v>FLL</v>
          </cell>
          <cell r="I240" t="str">
            <v>5PTG000501XABFLL</v>
          </cell>
        </row>
        <row r="241">
          <cell r="G241" t="str">
            <v>THW</v>
          </cell>
          <cell r="H241" t="str">
            <v>FML</v>
          </cell>
          <cell r="I241" t="str">
            <v>5PTG000493XABFML</v>
          </cell>
        </row>
        <row r="242">
          <cell r="G242" t="str">
            <v>THW</v>
          </cell>
          <cell r="H242" t="str">
            <v>FNW</v>
          </cell>
          <cell r="I242" t="str">
            <v>5PTG000495XABFNW</v>
          </cell>
        </row>
        <row r="243">
          <cell r="G243" t="str">
            <v>THW</v>
          </cell>
          <cell r="H243" t="str">
            <v>FPB</v>
          </cell>
          <cell r="I243" t="str">
            <v>5PTG000504XABFPB</v>
          </cell>
        </row>
        <row r="244">
          <cell r="G244" t="str">
            <v>車美仕</v>
          </cell>
          <cell r="H244" t="str">
            <v>FRL</v>
          </cell>
          <cell r="I244" t="str">
            <v>5PTG000508XABFRL</v>
          </cell>
        </row>
        <row r="245">
          <cell r="G245" t="str">
            <v>車美仕</v>
          </cell>
          <cell r="H245" t="str">
            <v>FSY</v>
          </cell>
          <cell r="I245" t="str">
            <v>5PTG000509XABFSY</v>
          </cell>
        </row>
        <row r="246">
          <cell r="G246" t="str">
            <v>車美仕</v>
          </cell>
          <cell r="H246" t="str">
            <v>FTO</v>
          </cell>
          <cell r="I246" t="str">
            <v>5PTG000510XABFTO</v>
          </cell>
        </row>
        <row r="247">
          <cell r="G247" t="str">
            <v>車美仕</v>
          </cell>
          <cell r="H247" t="str">
            <v>FUG</v>
          </cell>
          <cell r="I247" t="str">
            <v>5PTG000511XABFUG</v>
          </cell>
        </row>
        <row r="248">
          <cell r="G248" t="str">
            <v>台灣本田</v>
          </cell>
          <cell r="H248" t="str">
            <v>FVA</v>
          </cell>
          <cell r="I248" t="str">
            <v>5PTG000475XABFVA</v>
          </cell>
        </row>
        <row r="249">
          <cell r="G249" t="str">
            <v>台灣本田</v>
          </cell>
          <cell r="H249" t="str">
            <v>FXN</v>
          </cell>
          <cell r="I249" t="str">
            <v>5PTG000506XABFXN</v>
          </cell>
        </row>
        <row r="250">
          <cell r="G250" t="str">
            <v>三陽</v>
          </cell>
          <cell r="H250" t="str">
            <v>G4O</v>
          </cell>
          <cell r="I250" t="str">
            <v>5PTG000502XABG4O</v>
          </cell>
        </row>
        <row r="251">
          <cell r="G251" t="str">
            <v>台灣本田</v>
          </cell>
          <cell r="H251" t="str">
            <v>GAN</v>
          </cell>
          <cell r="I251" t="str">
            <v>5PTG000514XABGAN</v>
          </cell>
        </row>
        <row r="252">
          <cell r="H252" t="str">
            <v>GCS</v>
          </cell>
          <cell r="I252" t="str">
            <v>5PTG000515XABGCS</v>
          </cell>
        </row>
        <row r="253">
          <cell r="H253" t="str">
            <v>GEB</v>
          </cell>
          <cell r="I253" t="str">
            <v>5PTG000517XABGEB</v>
          </cell>
        </row>
        <row r="254">
          <cell r="G254" t="str">
            <v>三陽</v>
          </cell>
          <cell r="H254" t="str">
            <v>GRG</v>
          </cell>
          <cell r="I254" t="str">
            <v>5PTG000262XABGRG</v>
          </cell>
        </row>
        <row r="255">
          <cell r="G255" t="str">
            <v>車美仕</v>
          </cell>
          <cell r="H255" t="str">
            <v>H2L</v>
          </cell>
          <cell r="I255" t="str">
            <v>5PTG000277XABH2L</v>
          </cell>
        </row>
        <row r="256">
          <cell r="G256" t="str">
            <v>車美仕</v>
          </cell>
          <cell r="H256" t="str">
            <v>H3R</v>
          </cell>
          <cell r="I256" t="str">
            <v>5PTG000518XABH3R</v>
          </cell>
        </row>
        <row r="257">
          <cell r="G257" t="str">
            <v>車美仕</v>
          </cell>
          <cell r="H257" t="str">
            <v>H8O</v>
          </cell>
          <cell r="I257" t="str">
            <v>5PTG000336XABH8O</v>
          </cell>
        </row>
        <row r="258">
          <cell r="G258" t="str">
            <v>車美仕</v>
          </cell>
          <cell r="H258" t="str">
            <v>HAP</v>
          </cell>
          <cell r="I258" t="str">
            <v>5PTG000205XABHAP</v>
          </cell>
        </row>
        <row r="259">
          <cell r="G259" t="str">
            <v>車美仕</v>
          </cell>
          <cell r="H259" t="str">
            <v>J5L</v>
          </cell>
          <cell r="I259" t="str">
            <v>5PTG000039XABJ5L</v>
          </cell>
        </row>
        <row r="260">
          <cell r="G260" t="str">
            <v>THW</v>
          </cell>
          <cell r="H260" t="str">
            <v>J8S</v>
          </cell>
          <cell r="I260" t="str">
            <v>5PTG000442XABJ8S</v>
          </cell>
        </row>
        <row r="261">
          <cell r="H261" t="str">
            <v>K3L</v>
          </cell>
          <cell r="I261" t="str">
            <v>5PTG000520XABK3L</v>
          </cell>
        </row>
        <row r="262">
          <cell r="G262" t="str">
            <v>MAZDA</v>
          </cell>
          <cell r="H262" t="str">
            <v>K8L</v>
          </cell>
          <cell r="I262" t="str">
            <v>5PTG000284XABK8L</v>
          </cell>
        </row>
        <row r="263">
          <cell r="H263" t="str">
            <v>LAP</v>
          </cell>
          <cell r="I263" t="str">
            <v>5PTG000171XABLAP</v>
          </cell>
        </row>
        <row r="264">
          <cell r="H264" t="str">
            <v>LIY</v>
          </cell>
          <cell r="I264" t="str">
            <v>5PTG000477XABLIY</v>
          </cell>
        </row>
        <row r="265">
          <cell r="H265" t="str">
            <v>M7R</v>
          </cell>
          <cell r="I265" t="str">
            <v>5PTG000519XABM7R</v>
          </cell>
        </row>
        <row r="266">
          <cell r="G266" t="str">
            <v>福特</v>
          </cell>
          <cell r="H266" t="str">
            <v>MSS</v>
          </cell>
          <cell r="I266" t="str">
            <v>5PTG000243XABMSS</v>
          </cell>
        </row>
        <row r="267">
          <cell r="G267" t="str">
            <v>車美仕</v>
          </cell>
          <cell r="H267" t="str">
            <v>N0L</v>
          </cell>
          <cell r="I267" t="str">
            <v>5PTG000319XABN0L</v>
          </cell>
        </row>
        <row r="268">
          <cell r="G268" t="str">
            <v>台灣本田</v>
          </cell>
          <cell r="H268" t="str">
            <v>NHW</v>
          </cell>
          <cell r="I268" t="str">
            <v>5PTG000292XABNHW</v>
          </cell>
        </row>
        <row r="269">
          <cell r="G269" t="str">
            <v>台灣本田</v>
          </cell>
          <cell r="H269" t="str">
            <v>P3A</v>
          </cell>
          <cell r="I269" t="str">
            <v>5PTG000116XABP3A</v>
          </cell>
        </row>
        <row r="270">
          <cell r="G270" t="str">
            <v>車美仕</v>
          </cell>
          <cell r="H270" t="str">
            <v>P4L</v>
          </cell>
          <cell r="I270" t="str">
            <v>5PTG000204XABP4L</v>
          </cell>
        </row>
        <row r="271">
          <cell r="G271" t="str">
            <v>福特</v>
          </cell>
          <cell r="H271" t="str">
            <v>PBL</v>
          </cell>
          <cell r="I271" t="str">
            <v>5PTG000329XABPBL</v>
          </cell>
        </row>
        <row r="272">
          <cell r="G272" t="str">
            <v>福特</v>
          </cell>
          <cell r="H272" t="str">
            <v>PHX</v>
          </cell>
          <cell r="I272" t="str">
            <v>5PTG000503XAA00X</v>
          </cell>
        </row>
        <row r="273">
          <cell r="G273" t="str">
            <v>MAZDA</v>
          </cell>
          <cell r="H273" t="str">
            <v>PZB</v>
          </cell>
          <cell r="I273" t="str">
            <v>5PTG000241XABPZB</v>
          </cell>
        </row>
        <row r="274">
          <cell r="G274" t="str">
            <v>車美仕</v>
          </cell>
          <cell r="H274" t="str">
            <v>Q4Y</v>
          </cell>
          <cell r="I274" t="str">
            <v>5PTG000448XABQ4Y</v>
          </cell>
        </row>
        <row r="275">
          <cell r="G275" t="str">
            <v>車美仕</v>
          </cell>
          <cell r="H275" t="str">
            <v>R8O</v>
          </cell>
          <cell r="I275" t="str">
            <v>5PTG000374XABR8O</v>
          </cell>
        </row>
        <row r="276">
          <cell r="H276" t="str">
            <v>R9P</v>
          </cell>
          <cell r="I276" t="str">
            <v>5PTG000325XABR9P</v>
          </cell>
        </row>
        <row r="277">
          <cell r="G277" t="str">
            <v>THW</v>
          </cell>
          <cell r="H277" t="str">
            <v>RAY</v>
          </cell>
          <cell r="I277" t="str">
            <v>5PTG000480XABRAY</v>
          </cell>
        </row>
        <row r="278">
          <cell r="G278" t="str">
            <v>THW</v>
          </cell>
          <cell r="H278" t="str">
            <v>RPP</v>
          </cell>
          <cell r="I278" t="str">
            <v>5PTG000476XABRPP</v>
          </cell>
        </row>
        <row r="279">
          <cell r="G279" t="str">
            <v>三陽</v>
          </cell>
          <cell r="H279" t="str">
            <v>RYR</v>
          </cell>
          <cell r="I279" t="str">
            <v>5PTG000063XABRYR</v>
          </cell>
        </row>
        <row r="280">
          <cell r="G280" t="str">
            <v>車美仕</v>
          </cell>
          <cell r="H280" t="str">
            <v>S5L</v>
          </cell>
          <cell r="I280" t="str">
            <v>5PTG000375XABS5L</v>
          </cell>
        </row>
        <row r="281">
          <cell r="G281" t="str">
            <v>車美仕</v>
          </cell>
          <cell r="H281" t="str">
            <v>S6L</v>
          </cell>
          <cell r="I281" t="str">
            <v>5PTG000240XABS6L</v>
          </cell>
        </row>
        <row r="282">
          <cell r="G282" t="str">
            <v>三陽</v>
          </cell>
          <cell r="H282" t="str">
            <v>S7S</v>
          </cell>
          <cell r="I282" t="str">
            <v>5PTG000261XABS7S</v>
          </cell>
        </row>
        <row r="283">
          <cell r="G283" t="str">
            <v>車美仕</v>
          </cell>
          <cell r="H283" t="str">
            <v>S9L</v>
          </cell>
          <cell r="I283" t="str">
            <v>5PTG000197XABS9L</v>
          </cell>
        </row>
        <row r="284">
          <cell r="G284" t="str">
            <v>福特</v>
          </cell>
          <cell r="H284" t="str">
            <v>SQG</v>
          </cell>
          <cell r="I284" t="str">
            <v>5PTG000244XABSQG</v>
          </cell>
        </row>
        <row r="285">
          <cell r="G285" t="str">
            <v>THW</v>
          </cell>
          <cell r="H285" t="str">
            <v>STL</v>
          </cell>
          <cell r="I285" t="str">
            <v>5PTG000490XABSTL</v>
          </cell>
        </row>
        <row r="286">
          <cell r="G286" t="str">
            <v>THW</v>
          </cell>
          <cell r="H286" t="str">
            <v>SUO</v>
          </cell>
          <cell r="I286" t="str">
            <v>5PTG000478XABSUO</v>
          </cell>
        </row>
        <row r="287">
          <cell r="G287" t="str">
            <v>車美仕</v>
          </cell>
          <cell r="H287" t="str">
            <v>T3G</v>
          </cell>
          <cell r="I287" t="str">
            <v>5PTG000081XABT3G</v>
          </cell>
        </row>
        <row r="288">
          <cell r="G288" t="str">
            <v>車美仕</v>
          </cell>
          <cell r="H288" t="str">
            <v>T7L</v>
          </cell>
          <cell r="I288" t="str">
            <v>5PTG000207XABT7L</v>
          </cell>
        </row>
        <row r="289">
          <cell r="G289" t="str">
            <v>福特</v>
          </cell>
          <cell r="H289" t="str">
            <v>TDA</v>
          </cell>
          <cell r="I289" t="str">
            <v>5PTG000195XABTDA</v>
          </cell>
        </row>
        <row r="290">
          <cell r="G290" t="str">
            <v>車美仕</v>
          </cell>
          <cell r="H290" t="str">
            <v>V1A</v>
          </cell>
          <cell r="I290" t="str">
            <v>5PTG000179XABV1A</v>
          </cell>
        </row>
        <row r="291">
          <cell r="G291" t="str">
            <v>台灣本田</v>
          </cell>
          <cell r="H291" t="str">
            <v>V6G</v>
          </cell>
          <cell r="I291" t="str">
            <v>5PTG000379XABV6G</v>
          </cell>
        </row>
        <row r="292">
          <cell r="G292" t="str">
            <v>車美仕</v>
          </cell>
          <cell r="H292" t="str">
            <v>V7O</v>
          </cell>
          <cell r="I292" t="str">
            <v>5PTG000323XABV7O</v>
          </cell>
        </row>
        <row r="293">
          <cell r="G293" t="str">
            <v>THW</v>
          </cell>
          <cell r="H293" t="str">
            <v>VSL</v>
          </cell>
          <cell r="I293" t="str">
            <v>5PTG000483XABVSL</v>
          </cell>
        </row>
        <row r="294">
          <cell r="G294" t="str">
            <v>MAZDA</v>
          </cell>
          <cell r="H294" t="str">
            <v>Y2L</v>
          </cell>
          <cell r="I294" t="str">
            <v>5PTG000290XABY2L</v>
          </cell>
        </row>
        <row r="295">
          <cell r="G295" t="str">
            <v>三陽</v>
          </cell>
          <cell r="H295" t="str">
            <v>Y3Y</v>
          </cell>
          <cell r="I295" t="str">
            <v>5PTG000276XABY3Y</v>
          </cell>
        </row>
        <row r="296">
          <cell r="G296" t="str">
            <v>台灣本田</v>
          </cell>
          <cell r="H296" t="str">
            <v>YYZ</v>
          </cell>
          <cell r="I296" t="str">
            <v>5PTG000500XAA00X</v>
          </cell>
        </row>
        <row r="297">
          <cell r="G297" t="str">
            <v>福特</v>
          </cell>
          <cell r="H297" t="str">
            <v>ZZZ</v>
          </cell>
          <cell r="I297" t="str">
            <v>5PTG000457XAA00X</v>
          </cell>
        </row>
        <row r="298">
          <cell r="G298" t="str">
            <v>中華汽車</v>
          </cell>
          <cell r="H298" t="str">
            <v>SFA</v>
          </cell>
          <cell r="I298" t="str">
            <v>5PTG000418XABSFA</v>
          </cell>
        </row>
        <row r="299">
          <cell r="G299" t="str">
            <v>台灣本田</v>
          </cell>
          <cell r="H299" t="str">
            <v>FWS</v>
          </cell>
          <cell r="I299" t="str">
            <v>5PTG000505XABFWS</v>
          </cell>
        </row>
        <row r="300">
          <cell r="G300" t="str">
            <v>THW</v>
          </cell>
          <cell r="H300" t="str">
            <v>K2A</v>
          </cell>
          <cell r="I300" t="str">
            <v>5PTG000522XABK2A</v>
          </cell>
        </row>
        <row r="301">
          <cell r="G301" t="str">
            <v>台灣本田</v>
          </cell>
          <cell r="H301" t="str">
            <v>8NB</v>
          </cell>
          <cell r="I301" t="str">
            <v>5PTG000127XAB8NB</v>
          </cell>
        </row>
        <row r="302">
          <cell r="G302" t="str">
            <v>車美仕</v>
          </cell>
          <cell r="H302" t="str">
            <v>BBB</v>
          </cell>
          <cell r="I302" t="str">
            <v>5PTG000006XABBBB</v>
          </cell>
        </row>
        <row r="303">
          <cell r="G303" t="str">
            <v>台灣本田</v>
          </cell>
          <cell r="H303" t="str">
            <v>GWS</v>
          </cell>
          <cell r="I303" t="str">
            <v>5PTG000526XABGWS</v>
          </cell>
        </row>
        <row r="304">
          <cell r="H304" t="str">
            <v>GQP</v>
          </cell>
          <cell r="I304" t="str">
            <v>5PTG000528XABGQP</v>
          </cell>
        </row>
        <row r="305">
          <cell r="G305" t="str">
            <v>車美仕</v>
          </cell>
          <cell r="H305" t="str">
            <v>GTL</v>
          </cell>
          <cell r="I305" t="str">
            <v>5PTG000529XABGTL</v>
          </cell>
        </row>
        <row r="306">
          <cell r="H306" t="str">
            <v>BKB</v>
          </cell>
          <cell r="I306" t="str">
            <v>5PTG000155XABBKB</v>
          </cell>
        </row>
        <row r="307">
          <cell r="G307" t="str">
            <v>車美仕</v>
          </cell>
          <cell r="H307" t="str">
            <v>GUR</v>
          </cell>
          <cell r="I307" t="str">
            <v>5PTG000531XABGUR</v>
          </cell>
        </row>
        <row r="308">
          <cell r="G308" t="str">
            <v>杏瑞</v>
          </cell>
          <cell r="H308" t="str">
            <v>GGR</v>
          </cell>
          <cell r="I308" t="str">
            <v>5PTG000536XABGGR</v>
          </cell>
        </row>
        <row r="309">
          <cell r="G309" t="str">
            <v>杏瑞</v>
          </cell>
          <cell r="H309" t="str">
            <v>GJO</v>
          </cell>
          <cell r="I309" t="str">
            <v>5PTG000535XABGJO</v>
          </cell>
        </row>
        <row r="310">
          <cell r="H310" t="str">
            <v>7EZ</v>
          </cell>
          <cell r="I310" t="str">
            <v>5PTG000141XAB7EZ</v>
          </cell>
        </row>
        <row r="311">
          <cell r="G311" t="str">
            <v>車美仕</v>
          </cell>
          <cell r="H311" t="str">
            <v>GMR</v>
          </cell>
          <cell r="I311" t="str">
            <v>5PTG000537XABGMR</v>
          </cell>
        </row>
        <row r="312">
          <cell r="G312" t="str">
            <v>中華汽車</v>
          </cell>
          <cell r="H312" t="str">
            <v>WGW</v>
          </cell>
          <cell r="I312" t="str">
            <v>5PTG000153XAB0LW</v>
          </cell>
        </row>
        <row r="313">
          <cell r="H313" t="str">
            <v>KZL</v>
          </cell>
          <cell r="I313" t="str">
            <v>5PTG000651XABKZL</v>
          </cell>
        </row>
        <row r="314">
          <cell r="H314" t="str">
            <v>HLL</v>
          </cell>
          <cell r="I314" t="str">
            <v>5PTG000623XABHLL</v>
          </cell>
        </row>
        <row r="315">
          <cell r="G315" t="str">
            <v>台灣本田</v>
          </cell>
          <cell r="H315" t="str">
            <v>PLB</v>
          </cell>
          <cell r="I315" t="str">
            <v>5PTG000727XABPLB</v>
          </cell>
        </row>
        <row r="316">
          <cell r="H316" t="str">
            <v>6XB</v>
          </cell>
          <cell r="I316" t="str">
            <v>5PTG000202XAB6XB</v>
          </cell>
        </row>
        <row r="317">
          <cell r="H317" t="str">
            <v>HHY</v>
          </cell>
          <cell r="I317" t="str">
            <v>5PTG000549XABHHY</v>
          </cell>
        </row>
        <row r="318">
          <cell r="H318" t="str">
            <v>P8G</v>
          </cell>
          <cell r="I318" t="str">
            <v>5PTG000694XABP8G</v>
          </cell>
        </row>
        <row r="319">
          <cell r="H319" t="str">
            <v>MXS</v>
          </cell>
          <cell r="I319" t="str">
            <v>5PTG000673XABMXS</v>
          </cell>
        </row>
        <row r="320">
          <cell r="H320" t="str">
            <v>MZY</v>
          </cell>
          <cell r="I320" t="str">
            <v>5PTG000692XABMZY</v>
          </cell>
        </row>
        <row r="321">
          <cell r="H321" t="str">
            <v>MWW</v>
          </cell>
          <cell r="I321" t="str">
            <v>5PTG000693XABMWW</v>
          </cell>
        </row>
        <row r="322">
          <cell r="H322" t="str">
            <v>GYR</v>
          </cell>
          <cell r="I322" t="str">
            <v>5PTG000539XABGYR</v>
          </cell>
        </row>
        <row r="323">
          <cell r="H323" t="str">
            <v>P9A</v>
          </cell>
          <cell r="I323" t="str">
            <v>5PTG000707XABP9A</v>
          </cell>
        </row>
        <row r="324">
          <cell r="H324" t="str">
            <v>HSS</v>
          </cell>
          <cell r="I324" t="str">
            <v>5PTG000628XABHSS</v>
          </cell>
        </row>
        <row r="325">
          <cell r="H325" t="str">
            <v>HPP</v>
          </cell>
          <cell r="I325" t="str">
            <v>5PTG000625XABHPP</v>
          </cell>
        </row>
        <row r="326">
          <cell r="H326" t="str">
            <v>L3B</v>
          </cell>
          <cell r="I326" t="str">
            <v>5PTG000653XABL3B</v>
          </cell>
        </row>
        <row r="327">
          <cell r="H327" t="str">
            <v>KGR</v>
          </cell>
          <cell r="I327" t="str">
            <v>5PTG000614XABKGR</v>
          </cell>
        </row>
        <row r="328">
          <cell r="H328" t="str">
            <v>JSB</v>
          </cell>
          <cell r="I328" t="str">
            <v>5PTG000643XABJSB</v>
          </cell>
        </row>
        <row r="329">
          <cell r="H329" t="str">
            <v>HFN</v>
          </cell>
          <cell r="I329" t="str">
            <v>5PTG000545XABHFN</v>
          </cell>
        </row>
        <row r="330">
          <cell r="H330" t="str">
            <v>T8K</v>
          </cell>
          <cell r="I330" t="str">
            <v>5PTG000551XABT8K</v>
          </cell>
        </row>
        <row r="331">
          <cell r="H331" t="str">
            <v>LCG</v>
          </cell>
          <cell r="I331" t="str">
            <v>5PTG000588XABLCG</v>
          </cell>
        </row>
        <row r="332">
          <cell r="H332" t="str">
            <v>MHA</v>
          </cell>
          <cell r="I332" t="str">
            <v>5PTG000615XABMHA</v>
          </cell>
        </row>
        <row r="333">
          <cell r="H333" t="str">
            <v>MUB</v>
          </cell>
          <cell r="I333" t="str">
            <v>5PTG000616XABMUB</v>
          </cell>
        </row>
        <row r="334">
          <cell r="H334" t="str">
            <v>KDR</v>
          </cell>
          <cell r="I334" t="str">
            <v>5PTG000589XABKDR</v>
          </cell>
        </row>
        <row r="335">
          <cell r="H335" t="str">
            <v>I6A</v>
          </cell>
          <cell r="I335" t="str">
            <v>5PTG000552XABI6A</v>
          </cell>
        </row>
        <row r="336">
          <cell r="H336" t="str">
            <v>KJL</v>
          </cell>
          <cell r="I336" t="str">
            <v>5PTG000671XABKJL</v>
          </cell>
        </row>
        <row r="337">
          <cell r="H337" t="str">
            <v>LWB</v>
          </cell>
          <cell r="I337" t="str">
            <v>5PTG000577XABLWB</v>
          </cell>
        </row>
        <row r="338">
          <cell r="H338" t="str">
            <v>JZL</v>
          </cell>
          <cell r="I338" t="str">
            <v>5PTG000581XABJZL</v>
          </cell>
        </row>
        <row r="339">
          <cell r="H339" t="str">
            <v>H5A</v>
          </cell>
          <cell r="I339" t="str">
            <v>5PTG000542XABH5A</v>
          </cell>
        </row>
        <row r="340">
          <cell r="H340" t="str">
            <v>H1W</v>
          </cell>
          <cell r="I340" t="str">
            <v>5PTG000541XABH1W</v>
          </cell>
        </row>
        <row r="341">
          <cell r="H341" t="str">
            <v>G9S</v>
          </cell>
          <cell r="I341" t="str">
            <v>5PTG000554XABG9S</v>
          </cell>
        </row>
        <row r="342">
          <cell r="H342" t="str">
            <v>J9R</v>
          </cell>
          <cell r="I342" t="str">
            <v>5PTG000555XABJ9R</v>
          </cell>
        </row>
        <row r="343">
          <cell r="H343" t="str">
            <v>N2N</v>
          </cell>
          <cell r="I343" t="str">
            <v>5PTG000691XABN2N</v>
          </cell>
        </row>
        <row r="344">
          <cell r="H344" t="str">
            <v>KKK</v>
          </cell>
          <cell r="I344" t="str">
            <v>5PTG000591XABKKK</v>
          </cell>
        </row>
        <row r="345">
          <cell r="H345" t="str">
            <v>L2A</v>
          </cell>
          <cell r="I345" t="str">
            <v>5PTG000652XABL2A</v>
          </cell>
        </row>
        <row r="346">
          <cell r="H346" t="str">
            <v>Q8O</v>
          </cell>
          <cell r="I346" t="str">
            <v>5PTG000731XABQ8O</v>
          </cell>
        </row>
        <row r="347">
          <cell r="H347" t="str">
            <v>3AW</v>
          </cell>
          <cell r="I347" t="str">
            <v>5PTG000043XAB3AW</v>
          </cell>
        </row>
        <row r="348">
          <cell r="H348" t="str">
            <v>JCB</v>
          </cell>
          <cell r="I348" t="str">
            <v>5PTG000638XABJCB</v>
          </cell>
        </row>
        <row r="349">
          <cell r="H349" t="str">
            <v>KFL</v>
          </cell>
          <cell r="I349" t="str">
            <v>5PTG000613XABKFL</v>
          </cell>
        </row>
        <row r="350">
          <cell r="H350" t="str">
            <v>HUR</v>
          </cell>
          <cell r="I350" t="str">
            <v>5PTG000629XABHUR</v>
          </cell>
        </row>
        <row r="351">
          <cell r="H351" t="str">
            <v>NBB</v>
          </cell>
          <cell r="I351" t="str">
            <v>5PTG000706XABNBB</v>
          </cell>
        </row>
        <row r="352">
          <cell r="H352" t="str">
            <v>5VA</v>
          </cell>
          <cell r="I352" t="str">
            <v>5PTG000056XAB5VA</v>
          </cell>
        </row>
        <row r="353">
          <cell r="H353" t="str">
            <v>8AA</v>
          </cell>
          <cell r="I353" t="str">
            <v>5PTG000076XAB8AA</v>
          </cell>
        </row>
        <row r="354">
          <cell r="H354" t="str">
            <v>5WK</v>
          </cell>
          <cell r="I354" t="str">
            <v>5PTG000194XAB5WK</v>
          </cell>
        </row>
        <row r="355">
          <cell r="H355" t="str">
            <v>74R</v>
          </cell>
          <cell r="I355" t="str">
            <v>5PTG000250XAB74R</v>
          </cell>
        </row>
        <row r="356">
          <cell r="H356" t="str">
            <v>EWK</v>
          </cell>
          <cell r="I356" t="str">
            <v>5PTG000474XABEWK</v>
          </cell>
        </row>
        <row r="357">
          <cell r="H357" t="str">
            <v>FGL</v>
          </cell>
          <cell r="I357" t="str">
            <v>5PTG000479XABFGL</v>
          </cell>
        </row>
        <row r="358">
          <cell r="H358" t="str">
            <v>PPZ</v>
          </cell>
          <cell r="I358" t="str">
            <v>5PTG000503XAA00X</v>
          </cell>
        </row>
        <row r="359">
          <cell r="H359" t="str">
            <v>W4N</v>
          </cell>
          <cell r="I359" t="str">
            <v>5PTG000532XABW4N</v>
          </cell>
        </row>
        <row r="360">
          <cell r="H360" t="str">
            <v>GLL</v>
          </cell>
          <cell r="I360" t="str">
            <v>5PTG000538XABGLL</v>
          </cell>
        </row>
        <row r="361">
          <cell r="H361" t="str">
            <v>GZW</v>
          </cell>
          <cell r="I361" t="str">
            <v>5PTG000540XABGZW</v>
          </cell>
        </row>
        <row r="362">
          <cell r="H362" t="str">
            <v>HDL</v>
          </cell>
          <cell r="I362" t="str">
            <v>5PTG000544XABHDL</v>
          </cell>
        </row>
        <row r="363">
          <cell r="H363" t="str">
            <v>H6A</v>
          </cell>
          <cell r="I363" t="str">
            <v>5PTG000546XABH6A</v>
          </cell>
        </row>
        <row r="364">
          <cell r="H364" t="str">
            <v>HBS</v>
          </cell>
          <cell r="I364" t="str">
            <v>5PTG000547XABHBS</v>
          </cell>
        </row>
        <row r="365">
          <cell r="H365" t="str">
            <v>H7L</v>
          </cell>
          <cell r="I365" t="str">
            <v>5PTG000548XABH7L</v>
          </cell>
        </row>
        <row r="366">
          <cell r="H366" t="str">
            <v>HML</v>
          </cell>
          <cell r="I366" t="str">
            <v>5PTG000553XABHML</v>
          </cell>
        </row>
        <row r="367">
          <cell r="H367" t="str">
            <v>JAN</v>
          </cell>
          <cell r="I367" t="str">
            <v>5PTG000556XABJAN</v>
          </cell>
        </row>
        <row r="368">
          <cell r="H368" t="str">
            <v>JUL</v>
          </cell>
          <cell r="I368" t="str">
            <v>5PTG000557XABJUL</v>
          </cell>
        </row>
        <row r="369">
          <cell r="H369" t="str">
            <v>JVW</v>
          </cell>
          <cell r="I369" t="str">
            <v>5PTG000558XABJVW</v>
          </cell>
        </row>
        <row r="370">
          <cell r="G370" t="str">
            <v>三陽</v>
          </cell>
          <cell r="H370" t="str">
            <v>K6R</v>
          </cell>
          <cell r="I370" t="str">
            <v>5PTG000559XABK6R</v>
          </cell>
        </row>
        <row r="371">
          <cell r="H371" t="str">
            <v>LDB</v>
          </cell>
          <cell r="I371" t="str">
            <v>5PTG000560XABLDB</v>
          </cell>
        </row>
        <row r="372">
          <cell r="H372" t="str">
            <v>JWL</v>
          </cell>
          <cell r="I372" t="str">
            <v>5PTG000561XABJWL</v>
          </cell>
        </row>
        <row r="373">
          <cell r="H373" t="str">
            <v>00X</v>
          </cell>
          <cell r="I373" t="str">
            <v>5PTG000555XAA00X</v>
          </cell>
        </row>
        <row r="374">
          <cell r="H374" t="str">
            <v>LFW</v>
          </cell>
          <cell r="I374" t="str">
            <v>5PTG000563XABLFW</v>
          </cell>
        </row>
        <row r="375">
          <cell r="H375" t="str">
            <v>LJS</v>
          </cell>
          <cell r="I375" t="str">
            <v>5PTG000570XABLJS</v>
          </cell>
        </row>
        <row r="376">
          <cell r="H376" t="str">
            <v>00X</v>
          </cell>
          <cell r="I376" t="str">
            <v>5PTG000563XAA00X</v>
          </cell>
        </row>
        <row r="377">
          <cell r="H377" t="str">
            <v>LXR</v>
          </cell>
          <cell r="I377" t="str">
            <v>5PTG000573XABLXR</v>
          </cell>
        </row>
        <row r="378">
          <cell r="H378" t="str">
            <v>00X</v>
          </cell>
          <cell r="I378" t="str">
            <v>5PTG000573XAA00X</v>
          </cell>
        </row>
        <row r="379">
          <cell r="H379" t="str">
            <v>L9G</v>
          </cell>
          <cell r="I379" t="str">
            <v>5PTG000574XABL9G</v>
          </cell>
        </row>
        <row r="380">
          <cell r="H380" t="str">
            <v>KQR</v>
          </cell>
          <cell r="I380" t="str">
            <v>5PTG000575XABKQR</v>
          </cell>
        </row>
        <row r="381">
          <cell r="H381" t="str">
            <v>LTR</v>
          </cell>
          <cell r="I381" t="str">
            <v>5PTG000576XABLTR</v>
          </cell>
        </row>
        <row r="382">
          <cell r="H382" t="str">
            <v>LSO</v>
          </cell>
          <cell r="I382" t="str">
            <v>5PTG000578XABLSO</v>
          </cell>
        </row>
        <row r="383">
          <cell r="H383" t="str">
            <v>LYB</v>
          </cell>
          <cell r="I383" t="str">
            <v>5PTG000579XABLYB</v>
          </cell>
        </row>
        <row r="384">
          <cell r="H384" t="str">
            <v>JYL</v>
          </cell>
          <cell r="I384" t="str">
            <v>5PTG000580XABJYL</v>
          </cell>
        </row>
        <row r="385">
          <cell r="H385" t="str">
            <v>LUO</v>
          </cell>
          <cell r="I385" t="str">
            <v>5PTG000582XABLUO</v>
          </cell>
        </row>
        <row r="386">
          <cell r="H386" t="str">
            <v>LVN</v>
          </cell>
          <cell r="I386" t="str">
            <v>5PTG000583XABLVN</v>
          </cell>
        </row>
        <row r="387">
          <cell r="H387" t="str">
            <v>00X</v>
          </cell>
          <cell r="I387" t="str">
            <v>5PTG000579XAA00X</v>
          </cell>
        </row>
        <row r="388">
          <cell r="H388" t="str">
            <v>00X</v>
          </cell>
          <cell r="I388" t="str">
            <v>5PTG000579XAE00X</v>
          </cell>
        </row>
        <row r="389">
          <cell r="H389" t="str">
            <v>M3L</v>
          </cell>
          <cell r="I389" t="str">
            <v>5PTG000584XABM3L</v>
          </cell>
        </row>
        <row r="390">
          <cell r="H390" t="str">
            <v>M2W</v>
          </cell>
          <cell r="I390" t="str">
            <v>5PTG000587XABM2W</v>
          </cell>
        </row>
        <row r="391">
          <cell r="H391" t="str">
            <v>00X</v>
          </cell>
          <cell r="I391" t="str">
            <v>5PTG000589XAA00X</v>
          </cell>
        </row>
        <row r="392">
          <cell r="H392" t="str">
            <v>KNN</v>
          </cell>
          <cell r="I392" t="str">
            <v>5PTG000590XABKNN</v>
          </cell>
        </row>
        <row r="393">
          <cell r="H393" t="str">
            <v>00X</v>
          </cell>
          <cell r="I393" t="str">
            <v>5PTG000591XAA00X</v>
          </cell>
        </row>
        <row r="394">
          <cell r="H394" t="str">
            <v>M9W</v>
          </cell>
          <cell r="I394" t="str">
            <v>5PTG000592XABM9W</v>
          </cell>
        </row>
        <row r="395">
          <cell r="H395" t="str">
            <v>KLL</v>
          </cell>
          <cell r="I395" t="str">
            <v>5PTG000593XABKLL</v>
          </cell>
        </row>
        <row r="396">
          <cell r="H396" t="str">
            <v>MLL</v>
          </cell>
          <cell r="I396" t="str">
            <v>5PTG000601XABMLL</v>
          </cell>
        </row>
        <row r="397">
          <cell r="H397" t="str">
            <v>MRR</v>
          </cell>
          <cell r="I397" t="str">
            <v>5PTG000602XABMRR</v>
          </cell>
        </row>
        <row r="398">
          <cell r="H398" t="str">
            <v>MNN</v>
          </cell>
          <cell r="I398" t="str">
            <v>5PTG000603XABMNN</v>
          </cell>
        </row>
        <row r="399">
          <cell r="H399" t="str">
            <v>HTW</v>
          </cell>
          <cell r="I399" t="str">
            <v>5PTG000604XABHTW</v>
          </cell>
        </row>
        <row r="400">
          <cell r="H400" t="str">
            <v>MBB</v>
          </cell>
          <cell r="I400" t="str">
            <v>5PTG000605XABMBB</v>
          </cell>
        </row>
        <row r="401">
          <cell r="H401" t="str">
            <v>MJA</v>
          </cell>
          <cell r="I401" t="str">
            <v>5PTG000612XABMJA</v>
          </cell>
        </row>
        <row r="402">
          <cell r="H402" t="str">
            <v>00X</v>
          </cell>
          <cell r="I402" t="str">
            <v>5PTG000614XAA00X</v>
          </cell>
        </row>
        <row r="403">
          <cell r="H403" t="str">
            <v>MQO</v>
          </cell>
          <cell r="I403" t="str">
            <v>5PTG000617XABMQO</v>
          </cell>
        </row>
        <row r="404">
          <cell r="H404" t="str">
            <v>U5R</v>
          </cell>
          <cell r="I404" t="str">
            <v>5PTG000619XABU5R</v>
          </cell>
        </row>
        <row r="405">
          <cell r="H405" t="str">
            <v>HJA</v>
          </cell>
          <cell r="I405" t="str">
            <v>5PTG000621XABHJA</v>
          </cell>
        </row>
        <row r="406">
          <cell r="H406" t="str">
            <v>J6L</v>
          </cell>
          <cell r="I406" t="str">
            <v>5PTG000636XABJ6L</v>
          </cell>
        </row>
        <row r="407">
          <cell r="H407" t="str">
            <v>J7G</v>
          </cell>
          <cell r="I407" t="str">
            <v>5PTG000637XABJ7G</v>
          </cell>
        </row>
        <row r="408">
          <cell r="H408" t="str">
            <v>KTW</v>
          </cell>
          <cell r="I408" t="str">
            <v>5PTG000645XABKTW</v>
          </cell>
        </row>
        <row r="409">
          <cell r="H409" t="str">
            <v>MVL</v>
          </cell>
          <cell r="I409" t="str">
            <v>5PTG000674XABMVL</v>
          </cell>
        </row>
        <row r="410">
          <cell r="H410" t="str">
            <v>MYO</v>
          </cell>
          <cell r="I410" t="str">
            <v>5PTG000690XABMYO</v>
          </cell>
        </row>
        <row r="411">
          <cell r="H411" t="str">
            <v>PWA</v>
          </cell>
          <cell r="I411" t="str">
            <v>5PTG000701XABPWA</v>
          </cell>
        </row>
        <row r="412">
          <cell r="H412" t="str">
            <v>Q2G</v>
          </cell>
          <cell r="I412" t="str">
            <v>5PTG000725XABQ2G</v>
          </cell>
        </row>
        <row r="413">
          <cell r="H413" t="str">
            <v>JDL</v>
          </cell>
          <cell r="I413" t="str">
            <v>5PTG000639XABJDL</v>
          </cell>
        </row>
        <row r="414">
          <cell r="H414" t="str">
            <v>HKK</v>
          </cell>
          <cell r="I414" t="str">
            <v>5PTG000622XABHKK</v>
          </cell>
        </row>
        <row r="415">
          <cell r="H415" t="str">
            <v>HNN</v>
          </cell>
          <cell r="I415" t="str">
            <v>5PTG000624XABHNN</v>
          </cell>
        </row>
        <row r="416">
          <cell r="H416" t="str">
            <v>HQO</v>
          </cell>
          <cell r="I416" t="str">
            <v>5PTG000620XABHQO</v>
          </cell>
        </row>
        <row r="417">
          <cell r="H417" t="str">
            <v>HRR</v>
          </cell>
          <cell r="I417" t="str">
            <v>5PTG000627XABHRR</v>
          </cell>
        </row>
        <row r="418">
          <cell r="H418" t="str">
            <v>HVL</v>
          </cell>
          <cell r="I418" t="str">
            <v>5PTG000630XABHVL</v>
          </cell>
        </row>
        <row r="419">
          <cell r="H419" t="str">
            <v>HWW</v>
          </cell>
          <cell r="I419" t="str">
            <v>5PTG000631XABHWW</v>
          </cell>
        </row>
        <row r="420">
          <cell r="H420" t="str">
            <v>HXR</v>
          </cell>
          <cell r="I420" t="str">
            <v>5PTG000632XABHXR</v>
          </cell>
        </row>
        <row r="421">
          <cell r="H421" t="str">
            <v>HYY</v>
          </cell>
          <cell r="I421" t="str">
            <v>5PTG000633XABHYY</v>
          </cell>
        </row>
        <row r="422">
          <cell r="H422" t="str">
            <v>J2W</v>
          </cell>
          <cell r="I422" t="str">
            <v>5PTG000634XABJ2W</v>
          </cell>
        </row>
        <row r="423">
          <cell r="H423" t="str">
            <v>J3B</v>
          </cell>
          <cell r="I423" t="str">
            <v>5PTG000635XABJ3B</v>
          </cell>
        </row>
        <row r="424">
          <cell r="H424" t="str">
            <v>JEW</v>
          </cell>
          <cell r="I424" t="str">
            <v>5PTG000640XABJEW</v>
          </cell>
        </row>
        <row r="425">
          <cell r="H425" t="str">
            <v>JFR</v>
          </cell>
          <cell r="I425" t="str">
            <v>5PTG000641XABJFR</v>
          </cell>
        </row>
        <row r="426">
          <cell r="H426" t="str">
            <v>JGN</v>
          </cell>
          <cell r="I426" t="str">
            <v>5PTG000642XABJGN</v>
          </cell>
        </row>
        <row r="427">
          <cell r="H427" t="str">
            <v>KAA</v>
          </cell>
          <cell r="I427" t="str">
            <v>5PTG000644XABKAA</v>
          </cell>
        </row>
        <row r="428">
          <cell r="H428" t="str">
            <v>KUS</v>
          </cell>
          <cell r="I428" t="str">
            <v>5PTG000646XABKUS</v>
          </cell>
        </row>
        <row r="429">
          <cell r="H429" t="str">
            <v>KVR</v>
          </cell>
          <cell r="I429" t="str">
            <v>5PTG000647XABKVR</v>
          </cell>
        </row>
        <row r="430">
          <cell r="H430" t="str">
            <v>KWL</v>
          </cell>
          <cell r="I430" t="str">
            <v>5PTG000648XABKWL</v>
          </cell>
        </row>
        <row r="431">
          <cell r="H431" t="str">
            <v>KXP</v>
          </cell>
          <cell r="I431" t="str">
            <v>5PTG000649XABKXP</v>
          </cell>
        </row>
        <row r="432">
          <cell r="H432" t="str">
            <v>KYR</v>
          </cell>
          <cell r="I432" t="str">
            <v>5PTG000650XABKYR</v>
          </cell>
        </row>
        <row r="433">
          <cell r="H433" t="str">
            <v>L4G</v>
          </cell>
          <cell r="I433" t="str">
            <v>5PTG000654XABL4G</v>
          </cell>
        </row>
        <row r="434">
          <cell r="H434" t="str">
            <v>L5G</v>
          </cell>
          <cell r="I434" t="str">
            <v>5PTG000655XABL5G</v>
          </cell>
        </row>
        <row r="435">
          <cell r="H435" t="str">
            <v>L6L</v>
          </cell>
          <cell r="I435" t="str">
            <v>5PTG000656XABL6L</v>
          </cell>
        </row>
        <row r="436">
          <cell r="H436" t="str">
            <v>L7L</v>
          </cell>
          <cell r="I436" t="str">
            <v>5PTG000657XABL7L</v>
          </cell>
        </row>
        <row r="437">
          <cell r="H437" t="str">
            <v>L8N</v>
          </cell>
          <cell r="I437" t="str">
            <v>5PTG000658XABL8N</v>
          </cell>
        </row>
        <row r="438">
          <cell r="H438" t="str">
            <v>LBA</v>
          </cell>
          <cell r="I438" t="str">
            <v>5PTG000669XABLBA</v>
          </cell>
        </row>
        <row r="439">
          <cell r="H439" t="str">
            <v>N8B</v>
          </cell>
          <cell r="I439" t="str">
            <v>5PTG000682XABN8B</v>
          </cell>
        </row>
        <row r="440">
          <cell r="H440" t="str">
            <v>N4L</v>
          </cell>
          <cell r="I440" t="str">
            <v>5PTG000698XABN4L</v>
          </cell>
        </row>
        <row r="441">
          <cell r="H441" t="str">
            <v>NCB</v>
          </cell>
          <cell r="I441" t="str">
            <v>5PTG000680XABNCB</v>
          </cell>
        </row>
        <row r="442">
          <cell r="H442" t="str">
            <v>PQR</v>
          </cell>
          <cell r="I442" t="str">
            <v>5PTG000721XABPQR</v>
          </cell>
        </row>
        <row r="443">
          <cell r="H443" t="str">
            <v>NFS</v>
          </cell>
          <cell r="I443" t="str">
            <v>5PTG000685XABNFS</v>
          </cell>
        </row>
        <row r="444">
          <cell r="H444" t="str">
            <v>NGW</v>
          </cell>
          <cell r="I444" t="str">
            <v>5PTG000679XABNGW</v>
          </cell>
        </row>
        <row r="445">
          <cell r="H445" t="str">
            <v>PNN</v>
          </cell>
          <cell r="I445" t="str">
            <v>5PTG000723XABPNN</v>
          </cell>
        </row>
        <row r="446">
          <cell r="H446" t="str">
            <v>NEA</v>
          </cell>
          <cell r="I446" t="str">
            <v>5PTG000681XABNEA</v>
          </cell>
        </row>
        <row r="447">
          <cell r="H447" t="str">
            <v>NQB</v>
          </cell>
          <cell r="I447" t="str">
            <v>5PTG000697XABNQB</v>
          </cell>
        </row>
        <row r="448">
          <cell r="H448" t="str">
            <v>NWA</v>
          </cell>
          <cell r="I448" t="str">
            <v>5PTG000695XABNWA</v>
          </cell>
        </row>
        <row r="449">
          <cell r="H449" t="str">
            <v>N9B</v>
          </cell>
          <cell r="I449" t="str">
            <v>5PTG000702XABN9B</v>
          </cell>
        </row>
        <row r="450">
          <cell r="H450" t="str">
            <v>NPL</v>
          </cell>
          <cell r="I450" t="str">
            <v>5PTG000696XABNPL</v>
          </cell>
        </row>
        <row r="451">
          <cell r="H451" t="str">
            <v>NRR</v>
          </cell>
          <cell r="I451" t="str">
            <v>5PTG000699XABNRR</v>
          </cell>
        </row>
        <row r="452">
          <cell r="H452" t="str">
            <v>NMB</v>
          </cell>
          <cell r="I452" t="str">
            <v>5PTG000705XABNMB</v>
          </cell>
        </row>
        <row r="453">
          <cell r="H453" t="str">
            <v>PJN</v>
          </cell>
        </row>
        <row r="454">
          <cell r="H454" t="str">
            <v>1VS</v>
          </cell>
          <cell r="I454" t="str">
            <v>5PTG000083XAB1VS</v>
          </cell>
        </row>
        <row r="455">
          <cell r="H455" t="str">
            <v>PMA</v>
          </cell>
          <cell r="I455" t="str">
            <v>5PTG000722XABPMA</v>
          </cell>
        </row>
        <row r="456">
          <cell r="H456" t="str">
            <v>KHS</v>
          </cell>
          <cell r="I456" t="str">
            <v>5PTG000672XABKHS</v>
          </cell>
        </row>
        <row r="457">
          <cell r="H457" t="str">
            <v>QDW</v>
          </cell>
          <cell r="I457" t="str">
            <v>5PTG000740XABQDW</v>
          </cell>
        </row>
        <row r="458">
          <cell r="H458" t="str">
            <v>QEN</v>
          </cell>
          <cell r="I458" t="str">
            <v>5PTG000739XABQEN</v>
          </cell>
        </row>
        <row r="459">
          <cell r="H459" t="str">
            <v>PXG</v>
          </cell>
          <cell r="I459" t="str">
            <v>5PTG000733XABPXG</v>
          </cell>
        </row>
        <row r="460">
          <cell r="H460" t="str">
            <v>QCA</v>
          </cell>
          <cell r="I460" t="str">
            <v>5PTG000742XABQCA</v>
          </cell>
        </row>
        <row r="461">
          <cell r="H461" t="str">
            <v>PFL</v>
          </cell>
          <cell r="I461" t="str">
            <v>5PTG000711XABPFL</v>
          </cell>
        </row>
        <row r="462">
          <cell r="H462" t="str">
            <v>PCW</v>
          </cell>
          <cell r="I462" t="str">
            <v>5PTG000708XABPCW</v>
          </cell>
        </row>
        <row r="463">
          <cell r="H463" t="str">
            <v>PDA</v>
          </cell>
          <cell r="I463" t="str">
            <v>5PTG000709XABPDA</v>
          </cell>
        </row>
        <row r="464">
          <cell r="H464" t="str">
            <v>PEY</v>
          </cell>
          <cell r="I464" t="str">
            <v>5PTG000710XABPEY</v>
          </cell>
        </row>
        <row r="465">
          <cell r="H465" t="str">
            <v>QHR</v>
          </cell>
          <cell r="I465" t="str">
            <v>5PTG000746XABQHR</v>
          </cell>
        </row>
        <row r="466">
          <cell r="H466" t="str">
            <v>PRG</v>
          </cell>
          <cell r="I466" t="str">
            <v>5PTG000715XABPRG</v>
          </cell>
        </row>
        <row r="467">
          <cell r="H467" t="str">
            <v>NZR</v>
          </cell>
          <cell r="I467" t="str">
            <v>5PTG000713XABNZR</v>
          </cell>
        </row>
        <row r="468">
          <cell r="H468" t="str">
            <v>NLR</v>
          </cell>
          <cell r="I468" t="str">
            <v>5PTG000703XABNLR</v>
          </cell>
        </row>
        <row r="469">
          <cell r="H469" t="str">
            <v>NKB</v>
          </cell>
          <cell r="I469" t="str">
            <v>5PTG000684XABNKB</v>
          </cell>
        </row>
        <row r="470">
          <cell r="H470" t="str">
            <v>Q5A</v>
          </cell>
          <cell r="I470" t="str">
            <v>5PTG000736XABQ5A</v>
          </cell>
        </row>
        <row r="471">
          <cell r="H471" t="str">
            <v>QBS</v>
          </cell>
          <cell r="I471" t="str">
            <v>5PTG000741XABQBS</v>
          </cell>
        </row>
        <row r="472">
          <cell r="H472" t="str">
            <v>QZR</v>
          </cell>
          <cell r="I472" t="str">
            <v>5PTG000759XABQZR</v>
          </cell>
        </row>
        <row r="473">
          <cell r="H473" t="str">
            <v>JPL</v>
          </cell>
          <cell r="I473" t="str">
            <v>5PTG000670XABJPL</v>
          </cell>
        </row>
        <row r="474">
          <cell r="G474" t="str">
            <v>三陽</v>
          </cell>
          <cell r="H474" t="str">
            <v>RBL</v>
          </cell>
          <cell r="I474" t="str">
            <v>5PTG000762XABRBL</v>
          </cell>
        </row>
        <row r="475">
          <cell r="H475" t="str">
            <v>QKW</v>
          </cell>
          <cell r="I475" t="str">
            <v>5PTG000748XABQKW</v>
          </cell>
        </row>
        <row r="476">
          <cell r="H476" t="str">
            <v>N6L</v>
          </cell>
          <cell r="I476" t="str">
            <v>5PTG000689XABN6L</v>
          </cell>
        </row>
        <row r="477">
          <cell r="H477" t="str">
            <v>QMR</v>
          </cell>
          <cell r="I477" t="str">
            <v>5PTG000745XABQMR</v>
          </cell>
        </row>
        <row r="478">
          <cell r="H478" t="str">
            <v>QNA</v>
          </cell>
          <cell r="I478" t="str">
            <v>5PTG000747XABQNA</v>
          </cell>
        </row>
        <row r="479">
          <cell r="H479" t="str">
            <v>QLS</v>
          </cell>
          <cell r="I479" t="str">
            <v>5PTG000744XABQLS</v>
          </cell>
        </row>
        <row r="480">
          <cell r="H480" t="str">
            <v>PYL</v>
          </cell>
          <cell r="I480" t="str">
            <v>5PTG000732XABPYL</v>
          </cell>
        </row>
        <row r="481">
          <cell r="H481" t="str">
            <v>N5L</v>
          </cell>
          <cell r="I481" t="str">
            <v>5PTG000688XABN5L</v>
          </cell>
        </row>
        <row r="482">
          <cell r="H482" t="str">
            <v>NDW</v>
          </cell>
          <cell r="I482" t="str">
            <v>5PTG000687XABNDW</v>
          </cell>
        </row>
        <row r="483">
          <cell r="H483" t="str">
            <v>N3L</v>
          </cell>
          <cell r="I483" t="str">
            <v>5PTG000704XABN3L</v>
          </cell>
        </row>
        <row r="484">
          <cell r="H484" t="str">
            <v>T5L</v>
          </cell>
          <cell r="I484" t="str">
            <v>5PTG000178XABT5L</v>
          </cell>
        </row>
        <row r="485">
          <cell r="H485" t="str">
            <v>QSB</v>
          </cell>
          <cell r="I485" t="str">
            <v>5PTG000753XABQSB</v>
          </cell>
        </row>
        <row r="486">
          <cell r="H486" t="str">
            <v>Q6S</v>
          </cell>
          <cell r="I486" t="str">
            <v>5PTG000737XABQ6S</v>
          </cell>
        </row>
        <row r="487">
          <cell r="H487" t="str">
            <v>NXW</v>
          </cell>
          <cell r="I487" t="str">
            <v>5PTG000700XABNXW</v>
          </cell>
        </row>
        <row r="488">
          <cell r="H488" t="str">
            <v>NNN</v>
          </cell>
          <cell r="I488" t="str">
            <v>5PTG000678XABNNN</v>
          </cell>
        </row>
        <row r="489">
          <cell r="H489" t="str">
            <v>PTS</v>
          </cell>
          <cell r="I489" t="str">
            <v>5PTG000716XABPTS</v>
          </cell>
        </row>
        <row r="490">
          <cell r="H490" t="str">
            <v>PUR</v>
          </cell>
          <cell r="I490" t="str">
            <v>5PTG000718XABPUR</v>
          </cell>
        </row>
        <row r="491">
          <cell r="H491" t="str">
            <v>PVN</v>
          </cell>
          <cell r="I491" t="str">
            <v>5PTG000714XABPVN</v>
          </cell>
        </row>
        <row r="492">
          <cell r="H492" t="str">
            <v>NYR</v>
          </cell>
          <cell r="I492" t="str">
            <v>5PTG000712XABNYR</v>
          </cell>
        </row>
        <row r="493">
          <cell r="H493" t="str">
            <v>NAW</v>
          </cell>
          <cell r="I493" t="str">
            <v>5PTG000686XABNAW</v>
          </cell>
        </row>
        <row r="494">
          <cell r="H494" t="str">
            <v>NJR</v>
          </cell>
          <cell r="I494" t="str">
            <v>5PTG000683XABNJR</v>
          </cell>
        </row>
        <row r="495">
          <cell r="H495" t="str">
            <v>Q9B</v>
          </cell>
          <cell r="I495" t="str">
            <v>5PTG000743XABQ9B</v>
          </cell>
        </row>
        <row r="496">
          <cell r="H496" t="str">
            <v>Q7N</v>
          </cell>
          <cell r="I496" t="str">
            <v>5PTG000735XABQ7N</v>
          </cell>
        </row>
        <row r="497">
          <cell r="H497" t="str">
            <v>JNN</v>
          </cell>
          <cell r="I497" t="str">
            <v>5PTG000665XABJNN</v>
          </cell>
        </row>
        <row r="498">
          <cell r="H498" t="str">
            <v>R7A</v>
          </cell>
          <cell r="I498" t="str">
            <v>5PTG000765XABR7A</v>
          </cell>
        </row>
        <row r="499">
          <cell r="H499" t="str">
            <v>RDR</v>
          </cell>
          <cell r="I499" t="str">
            <v>5PTG000766XABRDR</v>
          </cell>
        </row>
        <row r="500">
          <cell r="H500" t="str">
            <v>JMK</v>
          </cell>
          <cell r="I500" t="str">
            <v>5PTG000664XABJMK</v>
          </cell>
        </row>
        <row r="501">
          <cell r="H501" t="str">
            <v>JRW</v>
          </cell>
          <cell r="I501" t="str">
            <v>5PTG000667XABJRW</v>
          </cell>
        </row>
        <row r="502">
          <cell r="H502" t="str">
            <v>HZS</v>
          </cell>
          <cell r="I502" t="str">
            <v>5PTG000659XABHZS</v>
          </cell>
        </row>
        <row r="503">
          <cell r="H503" t="str">
            <v>9GS</v>
          </cell>
          <cell r="I503" t="str">
            <v>5PTG000148XAB9GS</v>
          </cell>
        </row>
        <row r="504">
          <cell r="H504" t="str">
            <v>R6L</v>
          </cell>
          <cell r="I504" t="str">
            <v>5PTG000764XABR6L</v>
          </cell>
        </row>
        <row r="505">
          <cell r="H505" t="str">
            <v>RCA</v>
          </cell>
          <cell r="I505" t="str">
            <v>5PTG000763XABRCA</v>
          </cell>
        </row>
        <row r="506">
          <cell r="H506" t="str">
            <v>RHL</v>
          </cell>
          <cell r="I506" t="str">
            <v>5PTG000769XABRHL</v>
          </cell>
        </row>
        <row r="507">
          <cell r="H507" t="str">
            <v>QRB</v>
          </cell>
          <cell r="I507" t="str">
            <v>5PTG000757XABQRB</v>
          </cell>
        </row>
        <row r="508">
          <cell r="H508" t="str">
            <v>QQL</v>
          </cell>
          <cell r="I508" t="str">
            <v>5PTG000756XABQQL</v>
          </cell>
        </row>
        <row r="509">
          <cell r="H509" t="str">
            <v>QUW</v>
          </cell>
          <cell r="I509" t="str">
            <v>5PTG000754XABQUW</v>
          </cell>
        </row>
        <row r="510">
          <cell r="H510" t="str">
            <v>R3A</v>
          </cell>
          <cell r="I510" t="str">
            <v>5PTG000750XABR3A</v>
          </cell>
        </row>
        <row r="511">
          <cell r="H511" t="str">
            <v>QYR</v>
          </cell>
          <cell r="I511" t="str">
            <v>5PTG000758XABQYR</v>
          </cell>
        </row>
        <row r="512">
          <cell r="H512" t="str">
            <v>JHA</v>
          </cell>
          <cell r="I512" t="str">
            <v>5PTG000660XABJHA</v>
          </cell>
        </row>
        <row r="513">
          <cell r="H513" t="str">
            <v>QXR</v>
          </cell>
          <cell r="I513" t="str">
            <v>5PTG000752XABQXR</v>
          </cell>
        </row>
        <row r="514">
          <cell r="H514" t="str">
            <v>R2L</v>
          </cell>
          <cell r="I514" t="str">
            <v>5PTG000755XABR2L</v>
          </cell>
        </row>
        <row r="515">
          <cell r="H515" t="str">
            <v>Q3L</v>
          </cell>
          <cell r="I515" t="str">
            <v>5PTG000726XABQ3L</v>
          </cell>
        </row>
        <row r="516">
          <cell r="H516" t="str">
            <v>S8A</v>
          </cell>
          <cell r="I516" t="str">
            <v>5PTG000779XABS8A</v>
          </cell>
        </row>
        <row r="517">
          <cell r="H517" t="str">
            <v>SCR</v>
          </cell>
          <cell r="I517" t="str">
            <v>5PTG000781XABSCR</v>
          </cell>
        </row>
        <row r="518">
          <cell r="H518" t="str">
            <v>RZG</v>
          </cell>
          <cell r="I518" t="str">
            <v>5PTG000778XABRZG</v>
          </cell>
        </row>
        <row r="519">
          <cell r="H519" t="str">
            <v>S3B</v>
          </cell>
          <cell r="I519" t="str">
            <v>5PTG000782XABS3B</v>
          </cell>
        </row>
        <row r="520">
          <cell r="H520" t="str">
            <v>SAA</v>
          </cell>
          <cell r="I520" t="str">
            <v>5PTG000780XABSAA</v>
          </cell>
        </row>
        <row r="521">
          <cell r="H521" t="str">
            <v>RXL</v>
          </cell>
          <cell r="I521" t="str">
            <v>5PTG000777XABRXL</v>
          </cell>
        </row>
        <row r="522">
          <cell r="H522" t="str">
            <v>SJO</v>
          </cell>
          <cell r="I522" t="str">
            <v>5PTG000785XABSJO</v>
          </cell>
        </row>
        <row r="523">
          <cell r="H523" t="str">
            <v>SKL</v>
          </cell>
          <cell r="I523" t="str">
            <v>5PTG000786XABSKL</v>
          </cell>
        </row>
        <row r="524">
          <cell r="H524" t="str">
            <v>SLB</v>
          </cell>
          <cell r="I524" t="str">
            <v>5PTG000787XABSLB</v>
          </cell>
        </row>
        <row r="525">
          <cell r="H525" t="str">
            <v>SMA</v>
          </cell>
          <cell r="I525" t="str">
            <v>5PTG000788XABSMA</v>
          </cell>
        </row>
        <row r="526">
          <cell r="H526" t="str">
            <v>SNW</v>
          </cell>
          <cell r="I526" t="str">
            <v>5PTG000789XABSNW</v>
          </cell>
        </row>
        <row r="527">
          <cell r="H527" t="str">
            <v>SRR</v>
          </cell>
          <cell r="I527" t="str">
            <v>5PTG000791XABSRR</v>
          </cell>
        </row>
        <row r="528">
          <cell r="H528" t="str">
            <v>SXB</v>
          </cell>
          <cell r="I528" t="str">
            <v>5PTG000792XABSXB</v>
          </cell>
        </row>
        <row r="529">
          <cell r="H529" t="str">
            <v>8TA</v>
          </cell>
          <cell r="I529" t="str">
            <v>5PTG000129XAB8TA</v>
          </cell>
        </row>
        <row r="530">
          <cell r="H530" t="str">
            <v>RJL</v>
          </cell>
          <cell r="I530" t="str">
            <v>5PTG000770XABRJL</v>
          </cell>
        </row>
        <row r="531">
          <cell r="H531" t="str">
            <v>RKB</v>
          </cell>
          <cell r="I531" t="str">
            <v>5PTG000768XABRKB</v>
          </cell>
        </row>
        <row r="532">
          <cell r="H532" t="str">
            <v>QTS</v>
          </cell>
          <cell r="I532" t="str">
            <v>5PTG000749XABQTS</v>
          </cell>
        </row>
        <row r="533">
          <cell r="H533" t="str">
            <v>R5P</v>
          </cell>
          <cell r="I533" t="str">
            <v>5PTG000783XABR5P</v>
          </cell>
        </row>
        <row r="534">
          <cell r="H534" t="str">
            <v>QVA</v>
          </cell>
          <cell r="I534" t="str">
            <v>5PTG000751XABQVA</v>
          </cell>
        </row>
        <row r="535">
          <cell r="H535" t="str">
            <v>THB</v>
          </cell>
          <cell r="I535" t="str">
            <v>5PTG000807XABTHB</v>
          </cell>
        </row>
        <row r="536">
          <cell r="H536" t="str">
            <v>TJA</v>
          </cell>
          <cell r="I536" t="str">
            <v>5PTG000808XABTJA</v>
          </cell>
        </row>
        <row r="537">
          <cell r="H537" t="str">
            <v>TAB</v>
          </cell>
          <cell r="I537" t="str">
            <v>5PTG000803XABTAB</v>
          </cell>
        </row>
        <row r="538">
          <cell r="H538" t="str">
            <v>TLG</v>
          </cell>
          <cell r="I538" t="str">
            <v>5PTG000811XABTLG</v>
          </cell>
        </row>
        <row r="539">
          <cell r="H539" t="str">
            <v>TZB</v>
          </cell>
          <cell r="I539" t="str">
            <v>5PTG000821XABTZB</v>
          </cell>
        </row>
        <row r="540">
          <cell r="H540" t="str">
            <v>TUR</v>
          </cell>
          <cell r="I540" t="str">
            <v>5PTG000818XABTUR</v>
          </cell>
        </row>
        <row r="541">
          <cell r="H541" t="str">
            <v>TML</v>
          </cell>
          <cell r="I541" t="str">
            <v>5PTG000814XABTML</v>
          </cell>
        </row>
        <row r="542">
          <cell r="H542" t="str">
            <v>TXA</v>
          </cell>
          <cell r="I542" t="str">
            <v>5PTG000820XABTXA</v>
          </cell>
        </row>
        <row r="543">
          <cell r="H543" t="str">
            <v>QWA</v>
          </cell>
          <cell r="I543" t="str">
            <v>5PTG000806XABQWA</v>
          </cell>
        </row>
        <row r="544">
          <cell r="H544" t="str">
            <v>T2L</v>
          </cell>
          <cell r="I544" t="str">
            <v>5PTG000810XABT2L</v>
          </cell>
        </row>
        <row r="545">
          <cell r="H545" t="str">
            <v>T4B</v>
          </cell>
          <cell r="I545" t="str">
            <v>5PTG000809XABT4B</v>
          </cell>
        </row>
        <row r="546">
          <cell r="H546" t="str">
            <v>TNL</v>
          </cell>
          <cell r="I546" t="str">
            <v>5PTG000815XABTNL</v>
          </cell>
        </row>
        <row r="547">
          <cell r="H547" t="str">
            <v>QPL</v>
          </cell>
          <cell r="I547" t="str">
            <v>5PTG000822XABQPL</v>
          </cell>
        </row>
        <row r="548">
          <cell r="H548" t="str">
            <v>TQG</v>
          </cell>
          <cell r="I548" t="str">
            <v>5PTG000826XABTQG</v>
          </cell>
        </row>
        <row r="549">
          <cell r="H549" t="str">
            <v>TTA</v>
          </cell>
          <cell r="I549" t="str">
            <v>5PTG000827XABTTA</v>
          </cell>
        </row>
        <row r="550">
          <cell r="H550" t="str">
            <v>TES</v>
          </cell>
          <cell r="I550" t="str">
            <v>5PTG000805XABTES</v>
          </cell>
        </row>
        <row r="551">
          <cell r="H551" t="str">
            <v>RRA</v>
          </cell>
          <cell r="I551" t="str">
            <v>5PTG000774XABRRA</v>
          </cell>
        </row>
        <row r="552">
          <cell r="H552" t="str">
            <v>RWO</v>
          </cell>
          <cell r="I552" t="str">
            <v>5PTG000773XABRWO</v>
          </cell>
        </row>
        <row r="553">
          <cell r="H553" t="str">
            <v>RLR</v>
          </cell>
          <cell r="I553" t="str">
            <v>5PTG000772XABRLR</v>
          </cell>
        </row>
        <row r="554">
          <cell r="H554" t="str">
            <v>UHL</v>
          </cell>
          <cell r="I554" t="str">
            <v>5PTG000841XABUHL</v>
          </cell>
        </row>
        <row r="555">
          <cell r="H555" t="str">
            <v>QFA</v>
          </cell>
          <cell r="I555" t="str">
            <v>5PTG000775XABQFA</v>
          </cell>
        </row>
        <row r="556">
          <cell r="H556" t="str">
            <v>QJK</v>
          </cell>
          <cell r="I556" t="str">
            <v>5PTG000799XABQJK</v>
          </cell>
        </row>
        <row r="557">
          <cell r="H557" t="str">
            <v>SPR</v>
          </cell>
          <cell r="I557" t="str">
            <v>5PTG000790XABSPR</v>
          </cell>
        </row>
        <row r="558">
          <cell r="H558" t="str">
            <v>TRW</v>
          </cell>
          <cell r="I558" t="str">
            <v>5PTG000817XABTRW</v>
          </cell>
        </row>
        <row r="559">
          <cell r="H559" t="str">
            <v>U7R</v>
          </cell>
          <cell r="I559" t="str">
            <v>5PTG000830XABU7R</v>
          </cell>
        </row>
        <row r="560">
          <cell r="H560" t="str">
            <v>T6L</v>
          </cell>
          <cell r="I560" t="str">
            <v>5PTG000801XABT6L</v>
          </cell>
        </row>
        <row r="561">
          <cell r="H561" t="str">
            <v>TFA</v>
          </cell>
          <cell r="I561" t="str">
            <v>5PTG000800XABTFA</v>
          </cell>
        </row>
        <row r="562">
          <cell r="H562" t="str">
            <v>UGL</v>
          </cell>
          <cell r="I562" t="str">
            <v>5PTG000832XABUGL</v>
          </cell>
        </row>
        <row r="563">
          <cell r="H563" t="str">
            <v>JJB</v>
          </cell>
          <cell r="I563" t="str">
            <v>5PTG000661XABJJB</v>
          </cell>
        </row>
        <row r="564">
          <cell r="H564" t="str">
            <v>RMG</v>
          </cell>
          <cell r="I564" t="str">
            <v>5PTG000771XABRMA</v>
          </cell>
        </row>
        <row r="565">
          <cell r="H565" t="str">
            <v>TWL</v>
          </cell>
          <cell r="I565" t="str">
            <v>5PTG000828XABTWL</v>
          </cell>
        </row>
        <row r="566">
          <cell r="H566" t="str">
            <v>TVK</v>
          </cell>
          <cell r="I566" t="str">
            <v>5PTG000819XABTVK</v>
          </cell>
        </row>
        <row r="567">
          <cell r="H567" t="str">
            <v>TPL</v>
          </cell>
          <cell r="I567" t="str">
            <v>5PTG000824XABTPL</v>
          </cell>
        </row>
        <row r="568">
          <cell r="H568" t="str">
            <v>V9L</v>
          </cell>
          <cell r="I568" t="str">
            <v>5PTG000848XABV9L</v>
          </cell>
        </row>
        <row r="569">
          <cell r="H569" t="str">
            <v>VAB</v>
          </cell>
          <cell r="I569" t="str">
            <v>5PTG000849XABVAB</v>
          </cell>
        </row>
        <row r="570">
          <cell r="H570" t="str">
            <v>JKR</v>
          </cell>
          <cell r="I570" t="str">
            <v>5PTG000662XABJKR</v>
          </cell>
        </row>
        <row r="571">
          <cell r="H571" t="str">
            <v>ULA</v>
          </cell>
          <cell r="I571" t="str">
            <v>5PTG000844XABULA</v>
          </cell>
        </row>
        <row r="572">
          <cell r="H572" t="str">
            <v>UKA</v>
          </cell>
          <cell r="I572" t="str">
            <v>5PTG000845XABUKA</v>
          </cell>
        </row>
        <row r="573">
          <cell r="G573" t="str">
            <v>台灣本田</v>
          </cell>
          <cell r="H573" t="str">
            <v>UPL</v>
          </cell>
          <cell r="I573" t="str">
            <v>5PTG000847XABUPL</v>
          </cell>
        </row>
        <row r="574">
          <cell r="G574" t="str">
            <v>台灣本田</v>
          </cell>
          <cell r="H574" t="str">
            <v>UNR</v>
          </cell>
          <cell r="I574" t="str">
            <v>5PTG000846XABUNR</v>
          </cell>
        </row>
        <row r="575">
          <cell r="H575" t="str">
            <v>UML</v>
          </cell>
          <cell r="I575" t="str">
            <v>5PTG000843XABUML</v>
          </cell>
        </row>
        <row r="576">
          <cell r="H576" t="str">
            <v>U3L</v>
          </cell>
          <cell r="I576" t="str">
            <v>5PTG000823XABU3L</v>
          </cell>
        </row>
        <row r="577">
          <cell r="H577" t="str">
            <v>U2R</v>
          </cell>
          <cell r="I577" t="str">
            <v>5PTG000825XABU2R</v>
          </cell>
        </row>
        <row r="578">
          <cell r="H578" t="str">
            <v>VBR</v>
          </cell>
          <cell r="I578" t="str">
            <v>5PTG000850XABVBR</v>
          </cell>
        </row>
        <row r="579">
          <cell r="H579" t="str">
            <v>VDR</v>
          </cell>
          <cell r="I579" t="str">
            <v>5PTG000851XABVDR</v>
          </cell>
        </row>
        <row r="580">
          <cell r="H580" t="str">
            <v>VCL</v>
          </cell>
          <cell r="I580" t="str">
            <v>5PTG000852XABVCL</v>
          </cell>
        </row>
        <row r="581">
          <cell r="H581" t="str">
            <v>SYL</v>
          </cell>
          <cell r="I581" t="str">
            <v>5PTG000798XABSYL</v>
          </cell>
        </row>
        <row r="582">
          <cell r="H582" t="str">
            <v>SZR</v>
          </cell>
          <cell r="I582" t="str">
            <v>5PTG000812XABSZR</v>
          </cell>
        </row>
        <row r="583">
          <cell r="H583" t="str">
            <v>VFR</v>
          </cell>
          <cell r="I583" t="str">
            <v>5PTG000854XABVFR</v>
          </cell>
        </row>
        <row r="584">
          <cell r="H584" t="str">
            <v>VUS</v>
          </cell>
          <cell r="I584" t="str">
            <v>5PTG000866XABVUS</v>
          </cell>
        </row>
        <row r="585">
          <cell r="H585" t="str">
            <v>VQW</v>
          </cell>
          <cell r="I585" t="str">
            <v>5PTG000865XABVQW</v>
          </cell>
        </row>
        <row r="586">
          <cell r="H586" t="str">
            <v>VMA</v>
          </cell>
          <cell r="I586" t="str">
            <v>5PTG000860XABVMA</v>
          </cell>
        </row>
        <row r="587">
          <cell r="H587" t="str">
            <v>VNB</v>
          </cell>
          <cell r="I587" t="str">
            <v>5PTG000861XABVNB</v>
          </cell>
        </row>
        <row r="588">
          <cell r="H588" t="str">
            <v>VLS</v>
          </cell>
          <cell r="I588" t="str">
            <v>5PTG000864XABVLS</v>
          </cell>
        </row>
        <row r="589">
          <cell r="H589" t="str">
            <v>VYW</v>
          </cell>
          <cell r="I589" t="str">
            <v>5PTG000869XABVYW</v>
          </cell>
        </row>
        <row r="590">
          <cell r="H590" t="str">
            <v>VKB</v>
          </cell>
          <cell r="I590" t="str">
            <v>5PTG000868XABVKB</v>
          </cell>
        </row>
        <row r="591">
          <cell r="H591" t="str">
            <v>UUS</v>
          </cell>
          <cell r="I591" t="str">
            <v>5PTG000859XABUUS</v>
          </cell>
        </row>
        <row r="592">
          <cell r="H592" t="str">
            <v>VPL</v>
          </cell>
          <cell r="I592" t="str">
            <v>5PTG000867XABVPL</v>
          </cell>
        </row>
        <row r="593">
          <cell r="H593" t="str">
            <v>UYL</v>
          </cell>
          <cell r="I593" t="str">
            <v>5PTG000862XABUYL</v>
          </cell>
        </row>
        <row r="594">
          <cell r="H594" t="str">
            <v>UZW</v>
          </cell>
          <cell r="I594" t="str">
            <v>5PTG000863XABUZW</v>
          </cell>
        </row>
        <row r="595">
          <cell r="H595" t="str">
            <v>VGA</v>
          </cell>
          <cell r="I595" t="str">
            <v>5PTG000855XABVGA</v>
          </cell>
        </row>
        <row r="596">
          <cell r="H596" t="str">
            <v>VEA</v>
          </cell>
          <cell r="I596" t="str">
            <v>5PTG000853XABVEA</v>
          </cell>
        </row>
        <row r="597">
          <cell r="H597" t="str">
            <v>VXW</v>
          </cell>
          <cell r="I597" t="str">
            <v>5PTG000876XABVXW</v>
          </cell>
        </row>
        <row r="598">
          <cell r="H598" t="str">
            <v>XXZ</v>
          </cell>
        </row>
        <row r="599">
          <cell r="H599" t="str">
            <v>WCL</v>
          </cell>
          <cell r="I599" t="str">
            <v>5PTG000878XABWCL</v>
          </cell>
        </row>
        <row r="600">
          <cell r="H600" t="str">
            <v>W3B</v>
          </cell>
          <cell r="I600" t="str">
            <v>5PTG000871XABW3B</v>
          </cell>
        </row>
        <row r="601">
          <cell r="H601" t="str">
            <v>VWL</v>
          </cell>
          <cell r="I601" t="str">
            <v>5PTG000875XABVWL</v>
          </cell>
        </row>
        <row r="602">
          <cell r="H602" t="str">
            <v>W8G</v>
          </cell>
          <cell r="I602" t="str">
            <v>5PTG000873XABW8G</v>
          </cell>
        </row>
        <row r="603">
          <cell r="H603" t="str">
            <v>YJG</v>
          </cell>
          <cell r="I603" t="str">
            <v>5PTG000880XABYJG</v>
          </cell>
        </row>
        <row r="604">
          <cell r="H604" t="str">
            <v>YHY</v>
          </cell>
          <cell r="I604" t="str">
            <v>5PTG000881XABYHY</v>
          </cell>
        </row>
        <row r="605">
          <cell r="H605" t="str">
            <v>WBR</v>
          </cell>
          <cell r="I605" t="str">
            <v>5PTG000877XABWBR</v>
          </cell>
        </row>
        <row r="606">
          <cell r="H606" t="str">
            <v>WDS</v>
          </cell>
          <cell r="I606" t="str">
            <v>5PTG000882XABWDS</v>
          </cell>
        </row>
        <row r="607">
          <cell r="H607" t="str">
            <v>WEL</v>
          </cell>
          <cell r="I607" t="str">
            <v>5PTG000879XABWEL</v>
          </cell>
        </row>
        <row r="608">
          <cell r="H608" t="str">
            <v>4WA</v>
          </cell>
          <cell r="I608" t="str">
            <v>5PTG000100XAB4WA</v>
          </cell>
        </row>
        <row r="609">
          <cell r="H609" t="str">
            <v>WVL</v>
          </cell>
          <cell r="I609" t="str">
            <v>5PTG000880XABWVL</v>
          </cell>
        </row>
        <row r="610">
          <cell r="H610" t="str">
            <v>WAA</v>
          </cell>
          <cell r="I610" t="str">
            <v>5PTG000874XABWAA</v>
          </cell>
        </row>
        <row r="611">
          <cell r="H611" t="str">
            <v>WFA</v>
          </cell>
          <cell r="I611" t="str">
            <v>5PTG000882XABWFA</v>
          </cell>
        </row>
        <row r="612">
          <cell r="G612" t="str">
            <v>售服</v>
          </cell>
          <cell r="H612" t="str">
            <v>WNS</v>
          </cell>
          <cell r="I612" t="str">
            <v>5PTG000437XABWNS</v>
          </cell>
        </row>
        <row r="613">
          <cell r="G613" t="str">
            <v>售服</v>
          </cell>
          <cell r="H613" t="str">
            <v>WMS</v>
          </cell>
          <cell r="I613" t="str">
            <v>5PTG000465XABWMS</v>
          </cell>
        </row>
        <row r="614">
          <cell r="G614" t="str">
            <v>售服</v>
          </cell>
          <cell r="H614" t="str">
            <v>WKL</v>
          </cell>
          <cell r="I614" t="str">
            <v>5PTG000240XABWKL</v>
          </cell>
        </row>
        <row r="615">
          <cell r="H615" t="str">
            <v>WSG</v>
          </cell>
          <cell r="I615" t="str">
            <v>5PTG000881XABWSG</v>
          </cell>
        </row>
        <row r="616">
          <cell r="G616" t="str">
            <v>售服</v>
          </cell>
          <cell r="H616" t="str">
            <v>WRS</v>
          </cell>
          <cell r="I616" t="str">
            <v>5PTG000238XABWRS</v>
          </cell>
        </row>
        <row r="617">
          <cell r="G617" t="str">
            <v>售服</v>
          </cell>
          <cell r="H617" t="str">
            <v>WLL</v>
          </cell>
          <cell r="I617" t="str">
            <v>5PTG000561XABWLL</v>
          </cell>
        </row>
        <row r="618">
          <cell r="G618" t="str">
            <v>售服</v>
          </cell>
          <cell r="H618" t="str">
            <v>WQO</v>
          </cell>
          <cell r="I618" t="str">
            <v>5PTG000464XABWQO</v>
          </cell>
        </row>
        <row r="619">
          <cell r="H619" t="str">
            <v>WZL</v>
          </cell>
          <cell r="I619" t="str">
            <v>5PTG000886XABWZL</v>
          </cell>
        </row>
        <row r="620">
          <cell r="H620" t="str">
            <v>WQO</v>
          </cell>
          <cell r="I620" t="str">
            <v>5PTG000879XABVVA</v>
          </cell>
        </row>
        <row r="621">
          <cell r="H621" t="str">
            <v>WXL</v>
          </cell>
          <cell r="I621" t="str">
            <v>5PTG000885XABWXL</v>
          </cell>
        </row>
        <row r="622">
          <cell r="H622" t="str">
            <v>JQL</v>
          </cell>
          <cell r="I622" t="str">
            <v>5PTG000666XABJQL</v>
          </cell>
        </row>
        <row r="623">
          <cell r="H623" t="str">
            <v>X7W</v>
          </cell>
          <cell r="I623" t="str">
            <v>5PTG000888XABX7W</v>
          </cell>
        </row>
        <row r="624">
          <cell r="H624" t="str">
            <v>X8A</v>
          </cell>
          <cell r="I624" t="str">
            <v>5PTG000890XABX8A</v>
          </cell>
        </row>
        <row r="625">
          <cell r="H625" t="str">
            <v>XBG</v>
          </cell>
          <cell r="I625" t="str">
            <v>5PTG000892XABXBG</v>
          </cell>
        </row>
        <row r="626">
          <cell r="H626" t="str">
            <v>XAG</v>
          </cell>
          <cell r="I626" t="str">
            <v>5PTG000891XABXAG</v>
          </cell>
        </row>
        <row r="627">
          <cell r="H627" t="str">
            <v>X9A</v>
          </cell>
          <cell r="I627" t="str">
            <v>5PTG000894XABX9A</v>
          </cell>
        </row>
        <row r="628">
          <cell r="H628" t="str">
            <v>XCS</v>
          </cell>
          <cell r="I628" t="str">
            <v>5PTG000893XABXCS</v>
          </cell>
        </row>
        <row r="629">
          <cell r="H629" t="str">
            <v>XCB</v>
          </cell>
          <cell r="I629" t="str">
            <v>5PTG000896XABXCB</v>
          </cell>
        </row>
        <row r="634">
          <cell r="H634" t="str">
            <v>QRB面</v>
          </cell>
          <cell r="I634" t="str">
            <v>PT00132400T</v>
          </cell>
        </row>
        <row r="635">
          <cell r="H635" t="str">
            <v>QRB消</v>
          </cell>
          <cell r="I635" t="str">
            <v>PT00132500T</v>
          </cell>
        </row>
        <row r="637">
          <cell r="H637" t="str">
            <v>NBB面</v>
          </cell>
          <cell r="I637" t="str">
            <v>PT00121000T</v>
          </cell>
        </row>
        <row r="638">
          <cell r="H638" t="str">
            <v>NBB消</v>
          </cell>
          <cell r="I638" t="str">
            <v>PT00121010T</v>
          </cell>
        </row>
        <row r="640">
          <cell r="H640" t="str">
            <v>面漆</v>
          </cell>
          <cell r="I640" t="str">
            <v>PT00121000T</v>
          </cell>
        </row>
        <row r="641">
          <cell r="H641" t="str">
            <v>消光</v>
          </cell>
          <cell r="I641" t="str">
            <v>PT00121010T</v>
          </cell>
        </row>
        <row r="642">
          <cell r="H642" t="str">
            <v>硬化劑</v>
          </cell>
          <cell r="I642" t="str">
            <v>PT00126800T</v>
          </cell>
        </row>
        <row r="643">
          <cell r="H643" t="str">
            <v>黑底</v>
          </cell>
          <cell r="I643" t="str">
            <v>PT00158400T</v>
          </cell>
        </row>
        <row r="646">
          <cell r="I646" t="str">
            <v>共用料</v>
          </cell>
        </row>
        <row r="647">
          <cell r="G647">
            <v>6.694</v>
          </cell>
          <cell r="H647" t="str">
            <v>845R</v>
          </cell>
          <cell r="I647" t="str">
            <v>PT00143100T</v>
          </cell>
        </row>
        <row r="648">
          <cell r="G648">
            <v>1.9570000000000001</v>
          </cell>
          <cell r="H648" t="str">
            <v>805R</v>
          </cell>
          <cell r="I648" t="str">
            <v>PT00143000T</v>
          </cell>
        </row>
        <row r="649">
          <cell r="G649">
            <v>10.545</v>
          </cell>
          <cell r="H649" t="str">
            <v>840R-5</v>
          </cell>
          <cell r="I649" t="str">
            <v>PT00142700T</v>
          </cell>
        </row>
        <row r="650">
          <cell r="G650">
            <v>4.6870000000000003</v>
          </cell>
          <cell r="I650" t="str">
            <v>PT00126800T</v>
          </cell>
        </row>
        <row r="651">
          <cell r="G651">
            <v>28.974</v>
          </cell>
          <cell r="I651" t="str">
            <v>PT00000200T</v>
          </cell>
        </row>
        <row r="652">
          <cell r="G652">
            <v>15.164</v>
          </cell>
          <cell r="I652" t="str">
            <v>PT00000400T</v>
          </cell>
        </row>
        <row r="653">
          <cell r="I653" t="str">
            <v>PT00133000T</v>
          </cell>
        </row>
        <row r="654">
          <cell r="I654" t="str">
            <v>PT00133100T</v>
          </cell>
        </row>
        <row r="655">
          <cell r="I655" t="str">
            <v>PT00104200T</v>
          </cell>
        </row>
        <row r="656">
          <cell r="I656" t="str">
            <v>PT001458000</v>
          </cell>
        </row>
        <row r="657">
          <cell r="I657" t="str">
            <v>PT00047300T</v>
          </cell>
        </row>
        <row r="658">
          <cell r="H658" t="str">
            <v>840R-2</v>
          </cell>
          <cell r="I658" t="str">
            <v>PT00142800T</v>
          </cell>
        </row>
        <row r="659">
          <cell r="I659" t="str">
            <v>PT00142900T</v>
          </cell>
        </row>
        <row r="660">
          <cell r="I660" t="str">
            <v>PT00158400T</v>
          </cell>
        </row>
        <row r="661">
          <cell r="I661" t="str">
            <v>PT00047200T</v>
          </cell>
        </row>
        <row r="662">
          <cell r="I662" t="str">
            <v>PT00159000T</v>
          </cell>
        </row>
        <row r="663">
          <cell r="I663" t="str">
            <v>PT00158900T</v>
          </cell>
        </row>
        <row r="664">
          <cell r="I664" t="str">
            <v>PT00132500T</v>
          </cell>
        </row>
        <row r="665">
          <cell r="I665" t="str">
            <v>PT00128400T</v>
          </cell>
        </row>
        <row r="666">
          <cell r="I666" t="str">
            <v>PT00121000T</v>
          </cell>
        </row>
        <row r="667">
          <cell r="I667" t="str">
            <v>PT00121010T</v>
          </cell>
        </row>
        <row r="668">
          <cell r="G668">
            <v>36.362000000000002</v>
          </cell>
          <cell r="I668" t="str">
            <v>PT00132400T</v>
          </cell>
        </row>
        <row r="669">
          <cell r="I669" t="str">
            <v>PT00124710T</v>
          </cell>
        </row>
        <row r="670">
          <cell r="I670" t="str">
            <v>PT00124700T</v>
          </cell>
        </row>
        <row r="671">
          <cell r="I671" t="str">
            <v>PT00103400T</v>
          </cell>
        </row>
        <row r="672">
          <cell r="I672" t="str">
            <v>PT00104100T</v>
          </cell>
        </row>
        <row r="673">
          <cell r="I673" t="str">
            <v>PT00103600T</v>
          </cell>
        </row>
        <row r="674">
          <cell r="I674" t="str">
            <v>PT00117900T</v>
          </cell>
        </row>
        <row r="678">
          <cell r="G678" t="str">
            <v>毒化物</v>
          </cell>
          <cell r="H678" t="str">
            <v>39A</v>
          </cell>
          <cell r="I678" t="str">
            <v>PT00001200T</v>
          </cell>
        </row>
        <row r="679">
          <cell r="G679" t="str">
            <v>毒化物</v>
          </cell>
          <cell r="H679" t="str">
            <v>42W</v>
          </cell>
          <cell r="I679" t="str">
            <v>PT00001400T</v>
          </cell>
        </row>
        <row r="680">
          <cell r="G680" t="str">
            <v>毒化物</v>
          </cell>
          <cell r="H680" t="str">
            <v>6HA</v>
          </cell>
          <cell r="I680" t="str">
            <v>PT00003000T</v>
          </cell>
        </row>
        <row r="681">
          <cell r="G681" t="str">
            <v>毒化物</v>
          </cell>
          <cell r="H681" t="str">
            <v>9DB</v>
          </cell>
          <cell r="I681" t="str">
            <v>PT00015200T</v>
          </cell>
        </row>
        <row r="682">
          <cell r="G682" t="str">
            <v>毒化物</v>
          </cell>
          <cell r="H682" t="str">
            <v>0LW</v>
          </cell>
          <cell r="I682" t="str">
            <v>PT00015500T</v>
          </cell>
        </row>
        <row r="683">
          <cell r="G683" t="str">
            <v>毒化物</v>
          </cell>
          <cell r="H683" t="str">
            <v>09B</v>
          </cell>
          <cell r="I683" t="str">
            <v>PT00023900T</v>
          </cell>
        </row>
        <row r="684">
          <cell r="G684" t="str">
            <v>毒化物</v>
          </cell>
          <cell r="H684" t="str">
            <v>81B</v>
          </cell>
          <cell r="I684" t="str">
            <v>PT00032200T</v>
          </cell>
        </row>
        <row r="685">
          <cell r="G685" t="str">
            <v>毒化物</v>
          </cell>
          <cell r="H685" t="str">
            <v>金屬底</v>
          </cell>
          <cell r="I685" t="str">
            <v>PT00047200T</v>
          </cell>
        </row>
        <row r="686">
          <cell r="G686" t="str">
            <v>毒化物</v>
          </cell>
          <cell r="H686" t="str">
            <v>75W</v>
          </cell>
          <cell r="I686" t="str">
            <v>PT00047400T</v>
          </cell>
        </row>
        <row r="687">
          <cell r="G687" t="str">
            <v>毒化物</v>
          </cell>
          <cell r="H687" t="str">
            <v>78A</v>
          </cell>
          <cell r="I687" t="str">
            <v>PT00047600T</v>
          </cell>
        </row>
        <row r="688">
          <cell r="G688" t="str">
            <v>毒化物</v>
          </cell>
          <cell r="H688" t="str">
            <v>84B</v>
          </cell>
          <cell r="I688" t="str">
            <v>PT00047700T</v>
          </cell>
        </row>
        <row r="689">
          <cell r="G689" t="str">
            <v>毒化物</v>
          </cell>
          <cell r="H689" t="str">
            <v>H3R</v>
          </cell>
          <cell r="I689" t="str">
            <v>PT00053000T</v>
          </cell>
        </row>
        <row r="690">
          <cell r="G690" t="str">
            <v>毒化物</v>
          </cell>
          <cell r="H690" t="str">
            <v>HHY</v>
          </cell>
          <cell r="I690" t="str">
            <v>PT00056200T</v>
          </cell>
        </row>
        <row r="691">
          <cell r="G691" t="str">
            <v>毒化物</v>
          </cell>
          <cell r="H691" t="str">
            <v>VEA</v>
          </cell>
          <cell r="I691" t="str">
            <v>PT00157700T</v>
          </cell>
        </row>
        <row r="692">
          <cell r="G692" t="str">
            <v>毒化物</v>
          </cell>
          <cell r="H692" t="str">
            <v>VFR</v>
          </cell>
          <cell r="I692" t="str">
            <v>PT00157800T</v>
          </cell>
        </row>
        <row r="693">
          <cell r="G693" t="str">
            <v>毒化物</v>
          </cell>
          <cell r="H693" t="str">
            <v>VGA</v>
          </cell>
          <cell r="I693" t="str">
            <v>PT00157900T</v>
          </cell>
        </row>
        <row r="694">
          <cell r="G694" t="str">
            <v>毒化物</v>
          </cell>
          <cell r="H694" t="str">
            <v>XCB</v>
          </cell>
          <cell r="I694" t="str">
            <v>PT00169400T</v>
          </cell>
        </row>
        <row r="695">
          <cell r="G695" t="str">
            <v>毒化物</v>
          </cell>
          <cell r="H695" t="str">
            <v>快乾</v>
          </cell>
          <cell r="I695" t="str">
            <v>TC-801</v>
          </cell>
        </row>
        <row r="696">
          <cell r="G696" t="str">
            <v>毒化物</v>
          </cell>
          <cell r="H696" t="str">
            <v>中和</v>
          </cell>
          <cell r="I696" t="str">
            <v>TC-725</v>
          </cell>
        </row>
      </sheetData>
      <sheetData sheetId="27" refreshError="1"/>
      <sheetData sheetId="28" refreshError="1"/>
      <sheetData sheetId="29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171"/>
  <sheetViews>
    <sheetView tabSelected="1" zoomScaleNormal="100" workbookViewId="0">
      <pane xSplit="6" ySplit="3" topLeftCell="G1161" activePane="bottomRight" state="frozen"/>
      <selection pane="topRight" activeCell="G1" sqref="G1"/>
      <selection pane="bottomLeft" activeCell="A4" sqref="A4"/>
      <selection pane="bottomRight" activeCell="M1178" sqref="M1178"/>
    </sheetView>
  </sheetViews>
  <sheetFormatPr defaultColWidth="9.140625" defaultRowHeight="15.75"/>
  <cols>
    <col min="1" max="1" width="10.140625" style="25" customWidth="1"/>
    <col min="2" max="2" width="6.85546875" style="29" customWidth="1"/>
    <col min="3" max="3" width="11" style="11" customWidth="1"/>
    <col min="4" max="4" width="6.7109375" style="14" customWidth="1"/>
    <col min="5" max="5" width="7.5703125" style="13" customWidth="1"/>
    <col min="6" max="6" width="7.7109375" style="13" customWidth="1"/>
    <col min="7" max="7" width="11" style="17" bestFit="1" customWidth="1"/>
    <col min="8" max="8" width="13.85546875" style="17" customWidth="1"/>
    <col min="9" max="9" width="20.7109375" style="18" customWidth="1"/>
    <col min="10" max="10" width="10.28515625" style="15" customWidth="1"/>
    <col min="11" max="11" width="9.140625" style="15" customWidth="1"/>
    <col min="12" max="12" width="11.85546875" style="20" customWidth="1"/>
    <col min="13" max="13" width="6.85546875" style="12" customWidth="1"/>
    <col min="14" max="14" width="7.42578125" style="12" customWidth="1"/>
    <col min="15" max="15" width="7.42578125" style="15" customWidth="1"/>
    <col min="16" max="16" width="35.42578125" style="32" customWidth="1"/>
    <col min="17" max="17" width="19.140625" style="12" customWidth="1"/>
    <col min="18" max="18" width="10.140625" style="15" customWidth="1"/>
    <col min="19" max="19" width="8.5703125" style="12" bestFit="1" customWidth="1"/>
    <col min="20" max="20" width="18.42578125" style="17" bestFit="1" customWidth="1"/>
    <col min="21" max="21" width="9.5703125" style="12" customWidth="1"/>
    <col min="22" max="22" width="8.5703125" style="15" bestFit="1" customWidth="1"/>
    <col min="23" max="23" width="13.28515625" style="10" bestFit="1" customWidth="1"/>
    <col min="24" max="24" width="8.5703125" style="10" bestFit="1" customWidth="1"/>
    <col min="25" max="25" width="8.5703125" style="52" bestFit="1" customWidth="1"/>
    <col min="26" max="26" width="27.7109375" style="26" bestFit="1" customWidth="1"/>
    <col min="27" max="16384" width="9.140625" style="6"/>
  </cols>
  <sheetData>
    <row r="1" spans="1:26">
      <c r="A1" s="4"/>
      <c r="C1" s="19"/>
      <c r="E1" s="4"/>
      <c r="G1" s="5"/>
      <c r="H1" s="14"/>
      <c r="I1" s="14"/>
      <c r="J1" s="58"/>
      <c r="K1" s="58"/>
      <c r="M1" s="36"/>
      <c r="O1" s="58"/>
      <c r="R1" s="58"/>
      <c r="V1" s="58"/>
      <c r="Y1" s="58"/>
      <c r="Z1" s="58"/>
    </row>
    <row r="2" spans="1:26">
      <c r="A2" s="38" t="s">
        <v>932</v>
      </c>
      <c r="C2" s="19"/>
      <c r="I2" s="58"/>
      <c r="J2" s="58"/>
      <c r="K2" s="58"/>
      <c r="O2" s="58"/>
      <c r="R2" s="58"/>
      <c r="V2" s="58"/>
      <c r="Y2" s="58"/>
      <c r="Z2" s="58"/>
    </row>
    <row r="3" spans="1:26" s="10" customFormat="1" ht="49.5" customHeight="1">
      <c r="A3" s="28" t="s">
        <v>476</v>
      </c>
      <c r="B3" s="30" t="s">
        <v>477</v>
      </c>
      <c r="C3" s="7" t="s">
        <v>475</v>
      </c>
      <c r="D3" s="33" t="s">
        <v>481</v>
      </c>
      <c r="E3" s="8" t="s">
        <v>7</v>
      </c>
      <c r="F3" s="8" t="s">
        <v>8</v>
      </c>
      <c r="G3" s="9" t="s">
        <v>0</v>
      </c>
      <c r="H3" s="9" t="s">
        <v>1</v>
      </c>
      <c r="I3" s="16" t="s">
        <v>2</v>
      </c>
      <c r="J3" s="16" t="s">
        <v>3</v>
      </c>
      <c r="K3" s="16" t="s">
        <v>4</v>
      </c>
      <c r="L3" s="21" t="s">
        <v>203</v>
      </c>
      <c r="M3" s="16" t="s">
        <v>479</v>
      </c>
      <c r="N3" s="35" t="s">
        <v>483</v>
      </c>
      <c r="O3" s="16" t="s">
        <v>482</v>
      </c>
      <c r="P3" s="21" t="s">
        <v>480</v>
      </c>
      <c r="Q3" s="34" t="s">
        <v>484</v>
      </c>
      <c r="R3" s="10" t="s">
        <v>470</v>
      </c>
      <c r="S3" s="10" t="s">
        <v>471</v>
      </c>
      <c r="T3" s="10" t="s">
        <v>308</v>
      </c>
      <c r="U3" s="10" t="s">
        <v>485</v>
      </c>
      <c r="V3" s="10" t="s">
        <v>486</v>
      </c>
      <c r="W3" s="10" t="s">
        <v>266</v>
      </c>
      <c r="X3" s="10" t="s">
        <v>487</v>
      </c>
      <c r="Y3" s="16" t="s">
        <v>488</v>
      </c>
      <c r="Z3" s="16" t="s">
        <v>473</v>
      </c>
    </row>
    <row r="4" spans="1:26" ht="16.5">
      <c r="A4" s="25">
        <v>46387</v>
      </c>
      <c r="B4" s="29">
        <v>0.39027777777777778</v>
      </c>
      <c r="C4" s="11">
        <v>46024</v>
      </c>
      <c r="D4" s="24" t="str">
        <f t="shared" ref="D4:D20" si="0">RIGHT(I4,3)</f>
        <v>VLS</v>
      </c>
      <c r="E4" s="13" t="str">
        <f>VLOOKUP(D:D,工作表2!A:B,2,0)</f>
        <v>邦善</v>
      </c>
      <c r="F4" s="13" t="str">
        <f>VLOOKUP(D:D,工作表2!A:C,3,0)</f>
        <v>銀</v>
      </c>
      <c r="G4" s="17">
        <v>10309279</v>
      </c>
      <c r="H4" s="17" t="s">
        <v>383</v>
      </c>
      <c r="I4" s="18" t="s">
        <v>388</v>
      </c>
      <c r="J4" s="15">
        <v>3458</v>
      </c>
      <c r="K4" s="15">
        <v>73</v>
      </c>
      <c r="L4" s="20">
        <f t="shared" ref="L4:L9" si="1">K4/J4</f>
        <v>2.1110468478889532E-2</v>
      </c>
      <c r="M4" s="12">
        <v>50</v>
      </c>
      <c r="N4" s="12">
        <v>23</v>
      </c>
      <c r="P4" s="32" t="s">
        <v>500</v>
      </c>
      <c r="Q4" s="23"/>
      <c r="Y4" s="6"/>
    </row>
    <row r="5" spans="1:26" ht="16.5">
      <c r="A5" s="25">
        <v>46387</v>
      </c>
      <c r="B5" s="29">
        <v>0.4368055555555555</v>
      </c>
      <c r="C5" s="11">
        <v>46024</v>
      </c>
      <c r="D5" s="24" t="str">
        <f t="shared" si="0"/>
        <v>VWL</v>
      </c>
      <c r="E5" s="13" t="str">
        <f>VLOOKUP(D:D,工作表2!A:B,2,0)</f>
        <v>邦善</v>
      </c>
      <c r="F5" s="13" t="str">
        <f>VLOOKUP(D:D,工作表2!A:C,3,0)</f>
        <v>藍</v>
      </c>
      <c r="G5" s="17">
        <v>10309278</v>
      </c>
      <c r="H5" s="17" t="s">
        <v>400</v>
      </c>
      <c r="I5" s="18" t="s">
        <v>401</v>
      </c>
      <c r="J5" s="15">
        <v>266</v>
      </c>
      <c r="K5" s="15">
        <v>24</v>
      </c>
      <c r="L5" s="20">
        <f t="shared" si="1"/>
        <v>9.0225563909774431E-2</v>
      </c>
      <c r="M5" s="12">
        <v>14</v>
      </c>
      <c r="N5" s="12">
        <v>10</v>
      </c>
      <c r="P5" s="32" t="s">
        <v>500</v>
      </c>
      <c r="Q5" s="23"/>
      <c r="Y5" s="6"/>
    </row>
    <row r="6" spans="1:26" ht="16.5">
      <c r="A6" s="25">
        <v>46387</v>
      </c>
      <c r="B6" s="29">
        <v>0.42986111111111108</v>
      </c>
      <c r="C6" s="11">
        <v>46024</v>
      </c>
      <c r="D6" s="24" t="str">
        <f t="shared" si="0"/>
        <v>VXW</v>
      </c>
      <c r="E6" s="13" t="str">
        <f>VLOOKUP(D:D,工作表2!A:B,2,0)</f>
        <v>邦善</v>
      </c>
      <c r="F6" s="13" t="str">
        <f>VLOOKUP(D:D,工作表2!A:C,3,0)</f>
        <v>白</v>
      </c>
      <c r="G6" s="17">
        <v>10309280</v>
      </c>
      <c r="H6" s="17" t="s">
        <v>397</v>
      </c>
      <c r="I6" s="18" t="s">
        <v>399</v>
      </c>
      <c r="J6" s="15">
        <v>798</v>
      </c>
      <c r="K6" s="15">
        <v>25</v>
      </c>
      <c r="L6" s="20">
        <f t="shared" si="1"/>
        <v>3.1328320802005011E-2</v>
      </c>
      <c r="M6" s="12">
        <v>15</v>
      </c>
      <c r="N6" s="12">
        <v>10</v>
      </c>
      <c r="P6" s="32" t="s">
        <v>500</v>
      </c>
      <c r="Q6" s="23"/>
      <c r="Y6" s="6"/>
    </row>
    <row r="7" spans="1:26" ht="16.5">
      <c r="A7" s="25">
        <v>46387</v>
      </c>
      <c r="B7" s="29">
        <v>0.40138888888888885</v>
      </c>
      <c r="C7" s="11">
        <v>46024</v>
      </c>
      <c r="D7" s="24" t="str">
        <f t="shared" si="0"/>
        <v>WZL</v>
      </c>
      <c r="E7" s="13" t="str">
        <f>VLOOKUP(D:D,工作表2!A:B,2,0)</f>
        <v>邦善</v>
      </c>
      <c r="F7" s="13" t="str">
        <f>VLOOKUP(D:D,工作表2!A:C,3,0)</f>
        <v>銀</v>
      </c>
      <c r="G7" s="17">
        <v>10309313</v>
      </c>
      <c r="H7" s="17" t="s">
        <v>412</v>
      </c>
      <c r="I7" s="18" t="s">
        <v>414</v>
      </c>
      <c r="J7" s="15">
        <v>5054</v>
      </c>
      <c r="K7" s="15">
        <v>283</v>
      </c>
      <c r="L7" s="20">
        <f t="shared" si="1"/>
        <v>5.5995251286110014E-2</v>
      </c>
      <c r="M7" s="12">
        <v>250</v>
      </c>
      <c r="N7" s="12">
        <v>33</v>
      </c>
      <c r="P7" s="32" t="s">
        <v>500</v>
      </c>
      <c r="Q7" s="23"/>
      <c r="Y7" s="6"/>
    </row>
    <row r="8" spans="1:26" ht="16.5">
      <c r="A8" s="25">
        <v>46387</v>
      </c>
      <c r="B8" s="29">
        <v>0.4291666666666667</v>
      </c>
      <c r="C8" s="11">
        <v>46024</v>
      </c>
      <c r="D8" s="24" t="str">
        <f t="shared" si="0"/>
        <v>X8A</v>
      </c>
      <c r="E8" s="13" t="str">
        <f>VLOOKUP(D:D,工作表2!A:B,2,0)</f>
        <v>邦善</v>
      </c>
      <c r="F8" s="13" t="str">
        <f>VLOOKUP(D:D,工作表2!A:C,3,0)</f>
        <v>灰</v>
      </c>
      <c r="G8" s="17">
        <v>10309268</v>
      </c>
      <c r="H8" s="17" t="s">
        <v>494</v>
      </c>
      <c r="I8" s="18" t="s">
        <v>495</v>
      </c>
      <c r="J8" s="15">
        <v>266</v>
      </c>
      <c r="K8" s="15">
        <v>55</v>
      </c>
      <c r="L8" s="20">
        <f t="shared" si="1"/>
        <v>0.20676691729323307</v>
      </c>
      <c r="M8" s="12">
        <v>35</v>
      </c>
      <c r="N8" s="12">
        <v>20</v>
      </c>
      <c r="P8" s="32" t="s">
        <v>500</v>
      </c>
      <c r="Q8" s="23"/>
      <c r="Y8" s="6"/>
    </row>
    <row r="9" spans="1:26" ht="16.5">
      <c r="A9" s="25">
        <v>46374</v>
      </c>
      <c r="B9" s="29">
        <v>0.6333333333333333</v>
      </c>
      <c r="C9" s="11">
        <v>46027</v>
      </c>
      <c r="D9" s="24" t="str">
        <f t="shared" si="0"/>
        <v>75W</v>
      </c>
      <c r="E9" s="13" t="str">
        <f>VLOOKUP(D:D,工作表2!A:B,2,0)</f>
        <v>敦陽</v>
      </c>
      <c r="F9" s="13" t="str">
        <f>VLOOKUP(D:D,工作表2!A:C,3,0)</f>
        <v>白</v>
      </c>
      <c r="G9" s="17">
        <v>10309165</v>
      </c>
      <c r="H9" s="17" t="s">
        <v>427</v>
      </c>
      <c r="I9" s="18" t="s">
        <v>432</v>
      </c>
      <c r="J9" s="15">
        <v>238</v>
      </c>
      <c r="K9" s="15">
        <v>50</v>
      </c>
      <c r="L9" s="20">
        <f t="shared" si="1"/>
        <v>0.21008403361344538</v>
      </c>
      <c r="M9" s="12">
        <v>38</v>
      </c>
      <c r="N9" s="12">
        <v>12</v>
      </c>
      <c r="P9" s="32" t="s">
        <v>500</v>
      </c>
      <c r="Q9" s="23" t="s">
        <v>961</v>
      </c>
      <c r="Y9" s="6"/>
    </row>
    <row r="10" spans="1:26" ht="16.5">
      <c r="A10" s="25">
        <v>46024</v>
      </c>
      <c r="B10" s="29">
        <v>0.63680555555555551</v>
      </c>
      <c r="C10" s="11">
        <v>46027</v>
      </c>
      <c r="D10" s="24" t="str">
        <f t="shared" si="0"/>
        <v>SZR</v>
      </c>
      <c r="E10" s="13" t="str">
        <f>VLOOKUP(D:D,工作表2!A:B,2,0)</f>
        <v>邦善</v>
      </c>
      <c r="F10" s="13" t="str">
        <f>VLOOKUP(D:D,工作表2!A:C,3,0)</f>
        <v>紅</v>
      </c>
      <c r="G10" s="17">
        <v>10310881</v>
      </c>
      <c r="H10" s="17" t="s">
        <v>403</v>
      </c>
      <c r="I10" s="18" t="s">
        <v>405</v>
      </c>
      <c r="J10" s="15">
        <v>266</v>
      </c>
      <c r="K10" s="15">
        <v>29</v>
      </c>
      <c r="L10" s="20">
        <f t="shared" ref="L10:L20" si="2">K10/J10</f>
        <v>0.10902255639097744</v>
      </c>
      <c r="M10" s="12">
        <v>21</v>
      </c>
      <c r="N10" s="12">
        <v>8</v>
      </c>
      <c r="P10" s="32" t="s">
        <v>500</v>
      </c>
      <c r="Q10" s="23"/>
      <c r="Y10" s="6"/>
    </row>
    <row r="11" spans="1:26" ht="16.5">
      <c r="A11" s="25">
        <v>46024</v>
      </c>
      <c r="B11" s="29">
        <v>0.38263888888888892</v>
      </c>
      <c r="C11" s="19">
        <v>46027</v>
      </c>
      <c r="D11" s="24" t="str">
        <f t="shared" si="0"/>
        <v>QRB</v>
      </c>
      <c r="E11" s="13" t="str">
        <f>VLOOKUP(D:D,工作表2!A:B,2,0)</f>
        <v>邦善</v>
      </c>
      <c r="F11" s="13" t="str">
        <f>VLOOKUP(D:D,工作表2!A:C,3,0)</f>
        <v>霧面黑</v>
      </c>
      <c r="G11" s="17">
        <v>10309233</v>
      </c>
      <c r="H11" s="17" t="s">
        <v>170</v>
      </c>
      <c r="I11" s="18" t="s">
        <v>171</v>
      </c>
      <c r="J11" s="15">
        <v>17822</v>
      </c>
      <c r="K11" s="15">
        <v>900</v>
      </c>
      <c r="L11" s="20">
        <f t="shared" si="2"/>
        <v>5.0499382785321512E-2</v>
      </c>
      <c r="M11" s="12">
        <v>577</v>
      </c>
      <c r="N11" s="12">
        <v>282</v>
      </c>
      <c r="O11" s="15">
        <v>41</v>
      </c>
      <c r="P11" s="32" t="s">
        <v>500</v>
      </c>
      <c r="Q11" s="23"/>
      <c r="Y11" s="6"/>
    </row>
    <row r="12" spans="1:26" ht="16.5">
      <c r="A12" s="25">
        <v>46385</v>
      </c>
      <c r="B12" s="29">
        <v>0.45833333333333331</v>
      </c>
      <c r="C12" s="19">
        <v>46027</v>
      </c>
      <c r="D12" s="24" t="str">
        <f t="shared" si="0"/>
        <v>N8B</v>
      </c>
      <c r="E12" s="13" t="str">
        <f>VLOOKUP(D:D,工作表2!A:B,2,0)</f>
        <v>邦善</v>
      </c>
      <c r="F12" s="13" t="str">
        <f>VLOOKUP(D:D,工作表2!A:C,3,0)</f>
        <v>霧面黑</v>
      </c>
      <c r="G12" s="17">
        <v>10304228</v>
      </c>
      <c r="H12" s="17" t="s">
        <v>5</v>
      </c>
      <c r="I12" s="18" t="s">
        <v>6</v>
      </c>
      <c r="J12" s="15">
        <v>4522</v>
      </c>
      <c r="K12" s="15">
        <v>90</v>
      </c>
      <c r="L12" s="20">
        <f t="shared" si="2"/>
        <v>1.9902697921273773E-2</v>
      </c>
      <c r="M12" s="12">
        <v>80</v>
      </c>
      <c r="N12" s="12">
        <v>10</v>
      </c>
      <c r="P12" s="32" t="s">
        <v>500</v>
      </c>
      <c r="Q12" s="23"/>
      <c r="Y12" s="6"/>
    </row>
    <row r="13" spans="1:26" ht="16.5">
      <c r="A13" s="25">
        <v>46381</v>
      </c>
      <c r="B13" s="29">
        <v>0.57847222222222217</v>
      </c>
      <c r="C13" s="19">
        <v>46027</v>
      </c>
      <c r="D13" s="24" t="str">
        <f t="shared" si="0"/>
        <v>75W</v>
      </c>
      <c r="E13" s="13" t="str">
        <f>VLOOKUP(D:D,工作表2!A:B,2,0)</f>
        <v>敦陽</v>
      </c>
      <c r="F13" s="13" t="str">
        <f>VLOOKUP(D:D,工作表2!A:C,3,0)</f>
        <v>白</v>
      </c>
      <c r="G13" s="17">
        <v>10309167</v>
      </c>
      <c r="H13" s="17" t="s">
        <v>419</v>
      </c>
      <c r="I13" s="18" t="s">
        <v>422</v>
      </c>
      <c r="J13" s="15">
        <v>72</v>
      </c>
      <c r="K13" s="15">
        <v>8</v>
      </c>
      <c r="L13" s="20">
        <f t="shared" si="2"/>
        <v>0.1111111111111111</v>
      </c>
      <c r="M13" s="12">
        <v>6</v>
      </c>
      <c r="N13" s="12">
        <v>2</v>
      </c>
      <c r="P13" s="32" t="s">
        <v>500</v>
      </c>
      <c r="Q13" s="23"/>
      <c r="Y13" s="6"/>
    </row>
    <row r="14" spans="1:26" ht="16.5">
      <c r="A14" s="25">
        <v>46381</v>
      </c>
      <c r="B14" s="29">
        <v>0.57638888888888895</v>
      </c>
      <c r="C14" s="19">
        <v>46027</v>
      </c>
      <c r="D14" s="24" t="str">
        <f t="shared" si="0"/>
        <v>78A</v>
      </c>
      <c r="E14" s="13" t="str">
        <f>VLOOKUP(D:D,工作表2!A:B,2,0)</f>
        <v>敦陽</v>
      </c>
      <c r="F14" s="13" t="str">
        <f>VLOOKUP(D:D,工作表2!A:C,3,0)</f>
        <v>灰</v>
      </c>
      <c r="G14" s="17">
        <v>10309180</v>
      </c>
      <c r="H14" s="17" t="s">
        <v>413</v>
      </c>
      <c r="I14" s="18" t="s">
        <v>415</v>
      </c>
      <c r="J14" s="15">
        <v>30</v>
      </c>
      <c r="K14" s="15">
        <v>0</v>
      </c>
      <c r="L14" s="20">
        <f t="shared" si="2"/>
        <v>0</v>
      </c>
      <c r="P14" s="32" t="s">
        <v>500</v>
      </c>
      <c r="Q14" s="23"/>
      <c r="Y14" s="6"/>
    </row>
    <row r="15" spans="1:26" ht="16.5">
      <c r="A15" s="25">
        <v>46381</v>
      </c>
      <c r="B15" s="29">
        <v>0.58263888888888882</v>
      </c>
      <c r="C15" s="19">
        <v>46027</v>
      </c>
      <c r="D15" s="24" t="str">
        <f t="shared" si="0"/>
        <v>QDW</v>
      </c>
      <c r="E15" s="13" t="str">
        <f>VLOOKUP(D:D,工作表2!A:B,2,0)</f>
        <v>邦善</v>
      </c>
      <c r="F15" s="13" t="str">
        <f>VLOOKUP(D:D,工作表2!A:C,3,0)</f>
        <v>白</v>
      </c>
      <c r="G15" s="17">
        <v>10304227</v>
      </c>
      <c r="H15" s="17" t="s">
        <v>439</v>
      </c>
      <c r="I15" s="18" t="s">
        <v>440</v>
      </c>
      <c r="J15" s="15">
        <v>144</v>
      </c>
      <c r="K15" s="15">
        <v>12</v>
      </c>
      <c r="L15" s="20">
        <f t="shared" si="2"/>
        <v>8.3333333333333329E-2</v>
      </c>
      <c r="M15" s="12">
        <v>10</v>
      </c>
      <c r="N15" s="12">
        <v>2</v>
      </c>
      <c r="P15" s="32" t="s">
        <v>500</v>
      </c>
      <c r="Q15" s="23"/>
      <c r="Y15" s="6"/>
    </row>
    <row r="16" spans="1:26" ht="16.5">
      <c r="A16" s="25">
        <v>46375</v>
      </c>
      <c r="B16" s="29">
        <v>0.57152777777777775</v>
      </c>
      <c r="C16" s="19">
        <v>46027</v>
      </c>
      <c r="D16" s="24" t="str">
        <f t="shared" si="0"/>
        <v>NGW</v>
      </c>
      <c r="E16" s="13" t="str">
        <f>VLOOKUP(D:D,工作表2!A:B,2,0)</f>
        <v>邦善</v>
      </c>
      <c r="F16" s="13" t="str">
        <f>VLOOKUP(D:D,工作表2!A:C,3,0)</f>
        <v>白</v>
      </c>
      <c r="G16" s="17">
        <v>10302945</v>
      </c>
      <c r="H16" s="17" t="s">
        <v>469</v>
      </c>
      <c r="I16" s="18" t="s">
        <v>446</v>
      </c>
      <c r="J16" s="15">
        <v>480</v>
      </c>
      <c r="K16" s="15">
        <v>28</v>
      </c>
      <c r="L16" s="20">
        <f t="shared" si="2"/>
        <v>5.8333333333333334E-2</v>
      </c>
      <c r="M16" s="12">
        <v>18</v>
      </c>
      <c r="N16" s="12">
        <v>10</v>
      </c>
      <c r="P16" s="32" t="s">
        <v>500</v>
      </c>
      <c r="Q16" s="23" t="s">
        <v>962</v>
      </c>
      <c r="Y16" s="6"/>
    </row>
    <row r="17" spans="1:25" ht="16.5">
      <c r="A17" s="25">
        <v>46385</v>
      </c>
      <c r="B17" s="29">
        <v>0.55694444444444446</v>
      </c>
      <c r="C17" s="19">
        <v>46027</v>
      </c>
      <c r="D17" s="24" t="str">
        <f t="shared" si="0"/>
        <v>NGW</v>
      </c>
      <c r="E17" s="13" t="str">
        <f>VLOOKUP(D:D,工作表2!A:B,2,0)</f>
        <v>邦善</v>
      </c>
      <c r="F17" s="13" t="str">
        <f>VLOOKUP(D:D,工作表2!A:C,3,0)</f>
        <v>白</v>
      </c>
      <c r="G17" s="17">
        <v>10302947</v>
      </c>
      <c r="H17" s="17" t="s">
        <v>374</v>
      </c>
      <c r="I17" s="18" t="s">
        <v>378</v>
      </c>
      <c r="J17" s="15">
        <v>600</v>
      </c>
      <c r="K17" s="15">
        <v>73</v>
      </c>
      <c r="L17" s="20">
        <f t="shared" si="2"/>
        <v>0.12166666666666667</v>
      </c>
      <c r="M17" s="12">
        <v>61</v>
      </c>
      <c r="N17" s="12">
        <v>12</v>
      </c>
      <c r="P17" s="32" t="s">
        <v>500</v>
      </c>
      <c r="Q17" s="23" t="s">
        <v>962</v>
      </c>
      <c r="Y17" s="6"/>
    </row>
    <row r="18" spans="1:25" ht="16.5">
      <c r="A18" s="25">
        <v>46385</v>
      </c>
      <c r="B18" s="29">
        <v>0.54375000000000007</v>
      </c>
      <c r="C18" s="19">
        <v>46027</v>
      </c>
      <c r="D18" s="24" t="str">
        <f t="shared" si="0"/>
        <v>NGW</v>
      </c>
      <c r="E18" s="13" t="str">
        <f>VLOOKUP(D:D,工作表2!A:B,2,0)</f>
        <v>邦善</v>
      </c>
      <c r="F18" s="13" t="str">
        <f>VLOOKUP(D:D,工作表2!A:C,3,0)</f>
        <v>白</v>
      </c>
      <c r="G18" s="17">
        <v>10302948</v>
      </c>
      <c r="H18" s="17" t="s">
        <v>426</v>
      </c>
      <c r="I18" s="18" t="s">
        <v>431</v>
      </c>
      <c r="J18" s="15">
        <v>560</v>
      </c>
      <c r="K18" s="15">
        <v>57</v>
      </c>
      <c r="L18" s="20">
        <f t="shared" si="2"/>
        <v>0.10178571428571428</v>
      </c>
      <c r="M18" s="12">
        <v>40</v>
      </c>
      <c r="N18" s="12">
        <v>17</v>
      </c>
      <c r="P18" s="32" t="s">
        <v>500</v>
      </c>
      <c r="Q18" s="23" t="s">
        <v>963</v>
      </c>
      <c r="Y18" s="6"/>
    </row>
    <row r="19" spans="1:25" ht="16.5">
      <c r="A19" s="25">
        <v>46381</v>
      </c>
      <c r="B19" s="29">
        <v>0.56666666666666665</v>
      </c>
      <c r="C19" s="19">
        <v>46027</v>
      </c>
      <c r="D19" s="24" t="str">
        <f t="shared" si="0"/>
        <v>78A</v>
      </c>
      <c r="E19" s="13" t="str">
        <f>VLOOKUP(D:D,工作表2!A:B,2,0)</f>
        <v>敦陽</v>
      </c>
      <c r="F19" s="13" t="str">
        <f>VLOOKUP(D:D,工作表2!A:C,3,0)</f>
        <v>灰</v>
      </c>
      <c r="G19" s="17">
        <v>10309179</v>
      </c>
      <c r="H19" s="17" t="s">
        <v>407</v>
      </c>
      <c r="I19" s="18" t="s">
        <v>410</v>
      </c>
      <c r="J19" s="15">
        <v>134</v>
      </c>
      <c r="K19" s="15">
        <v>15</v>
      </c>
      <c r="L19" s="20">
        <f t="shared" si="2"/>
        <v>0.11194029850746269</v>
      </c>
      <c r="M19" s="12">
        <v>12</v>
      </c>
      <c r="N19" s="12">
        <v>3</v>
      </c>
      <c r="P19" s="32" t="s">
        <v>500</v>
      </c>
      <c r="Q19" s="23" t="s">
        <v>961</v>
      </c>
      <c r="Y19" s="6"/>
    </row>
    <row r="20" spans="1:25" ht="16.5">
      <c r="A20" s="25">
        <v>46381</v>
      </c>
      <c r="B20" s="29">
        <v>0.56805555555555554</v>
      </c>
      <c r="C20" s="19">
        <v>46027</v>
      </c>
      <c r="D20" s="24" t="str">
        <f t="shared" si="0"/>
        <v>QDW</v>
      </c>
      <c r="E20" s="13" t="str">
        <f>VLOOKUP(D:D,工作表2!A:B,2,0)</f>
        <v>邦善</v>
      </c>
      <c r="F20" s="13" t="str">
        <f>VLOOKUP(D:D,工作表2!A:C,3,0)</f>
        <v>白</v>
      </c>
      <c r="G20" s="17">
        <v>10304224</v>
      </c>
      <c r="H20" s="17" t="s">
        <v>442</v>
      </c>
      <c r="I20" s="18" t="s">
        <v>443</v>
      </c>
      <c r="J20" s="15">
        <v>134</v>
      </c>
      <c r="K20" s="15">
        <v>14</v>
      </c>
      <c r="L20" s="20">
        <f t="shared" si="2"/>
        <v>0.1044776119402985</v>
      </c>
      <c r="M20" s="12">
        <v>10</v>
      </c>
      <c r="N20" s="12">
        <v>4</v>
      </c>
      <c r="P20" s="32" t="s">
        <v>500</v>
      </c>
      <c r="Q20" s="23" t="s">
        <v>961</v>
      </c>
      <c r="Y20" s="6"/>
    </row>
    <row r="21" spans="1:25" ht="16.5">
      <c r="A21" s="25">
        <v>46027</v>
      </c>
      <c r="B21" s="29">
        <v>0.38194444444444442</v>
      </c>
      <c r="C21" s="11">
        <v>46028</v>
      </c>
      <c r="D21" s="24" t="str">
        <f t="shared" ref="D21:D27" si="3">RIGHT(I21,3)</f>
        <v>QRB</v>
      </c>
      <c r="E21" s="13" t="str">
        <f>VLOOKUP(D:D,工作表2!A:B,2,0)</f>
        <v>邦善</v>
      </c>
      <c r="F21" s="13" t="str">
        <f>VLOOKUP(D:D,工作表2!A:C,3,0)</f>
        <v>霧面黑</v>
      </c>
      <c r="G21" s="17">
        <v>10309228</v>
      </c>
      <c r="H21" s="17" t="s">
        <v>170</v>
      </c>
      <c r="I21" s="18" t="s">
        <v>171</v>
      </c>
      <c r="J21" s="15">
        <v>25802</v>
      </c>
      <c r="K21" s="15">
        <v>1214</v>
      </c>
      <c r="L21" s="20">
        <f t="shared" ref="L21:L27" si="4">K21/J21</f>
        <v>4.7050616231299899E-2</v>
      </c>
      <c r="M21" s="12">
        <v>785</v>
      </c>
      <c r="N21" s="12">
        <v>405</v>
      </c>
      <c r="O21" s="15">
        <v>24</v>
      </c>
      <c r="P21" s="32" t="s">
        <v>500</v>
      </c>
      <c r="Q21" s="23"/>
      <c r="Y21" s="6"/>
    </row>
    <row r="22" spans="1:25" ht="16.5">
      <c r="A22" s="25">
        <v>46024</v>
      </c>
      <c r="B22" s="29">
        <v>0.45277777777777778</v>
      </c>
      <c r="C22" s="11">
        <v>46028</v>
      </c>
      <c r="D22" s="24" t="str">
        <f t="shared" si="3"/>
        <v>S3B</v>
      </c>
      <c r="E22" s="13" t="str">
        <f>VLOOKUP(D:D,工作表2!A:B,2,0)</f>
        <v>邦善</v>
      </c>
      <c r="F22" s="13" t="str">
        <f>VLOOKUP(D:D,工作表2!A:C,3,0)</f>
        <v>黑</v>
      </c>
      <c r="G22" s="17">
        <v>10309255</v>
      </c>
      <c r="H22" s="17" t="s">
        <v>375</v>
      </c>
      <c r="I22" s="18" t="s">
        <v>379</v>
      </c>
      <c r="J22" s="15">
        <v>5586</v>
      </c>
      <c r="K22" s="15">
        <v>529</v>
      </c>
      <c r="L22" s="20">
        <f t="shared" si="4"/>
        <v>9.4701038310060867E-2</v>
      </c>
      <c r="M22" s="12">
        <v>370</v>
      </c>
      <c r="N22" s="12">
        <v>159</v>
      </c>
      <c r="P22" s="32" t="s">
        <v>500</v>
      </c>
      <c r="Q22" s="23"/>
      <c r="Y22" s="6"/>
    </row>
    <row r="23" spans="1:25" ht="16.5">
      <c r="A23" s="25">
        <v>46027</v>
      </c>
      <c r="B23" s="29">
        <v>0.59305555555555556</v>
      </c>
      <c r="C23" s="19">
        <v>46028</v>
      </c>
      <c r="D23" s="24" t="str">
        <f t="shared" si="3"/>
        <v>NGW</v>
      </c>
      <c r="E23" s="13" t="str">
        <f>VLOOKUP(D:D,工作表2!A:B,2,0)</f>
        <v>邦善</v>
      </c>
      <c r="F23" s="13" t="str">
        <f>VLOOKUP(D:D,工作表2!A:C,3,0)</f>
        <v>白</v>
      </c>
      <c r="G23" s="17">
        <v>10304243</v>
      </c>
      <c r="H23" s="17" t="s">
        <v>327</v>
      </c>
      <c r="I23" s="18" t="s">
        <v>328</v>
      </c>
      <c r="J23" s="15">
        <v>320</v>
      </c>
      <c r="K23" s="15">
        <v>27</v>
      </c>
      <c r="L23" s="20">
        <f t="shared" si="4"/>
        <v>8.4375000000000006E-2</v>
      </c>
      <c r="M23" s="12">
        <v>19</v>
      </c>
      <c r="N23" s="12">
        <v>8</v>
      </c>
      <c r="P23" s="32" t="s">
        <v>500</v>
      </c>
      <c r="Q23" s="23" t="s">
        <v>963</v>
      </c>
      <c r="Y23" s="6"/>
    </row>
    <row r="24" spans="1:25" ht="16.5">
      <c r="A24" s="25">
        <v>46024</v>
      </c>
      <c r="B24" s="29">
        <v>0.54583333333333328</v>
      </c>
      <c r="C24" s="19">
        <v>46028</v>
      </c>
      <c r="D24" s="24" t="str">
        <f t="shared" si="3"/>
        <v>NGW</v>
      </c>
      <c r="E24" s="13" t="str">
        <f>VLOOKUP(D:D,工作表2!A:B,2,0)</f>
        <v>邦善</v>
      </c>
      <c r="F24" s="13" t="str">
        <f>VLOOKUP(D:D,工作表2!A:C,3,0)</f>
        <v>白</v>
      </c>
      <c r="G24" s="17">
        <v>10304254</v>
      </c>
      <c r="H24" s="17" t="s">
        <v>386</v>
      </c>
      <c r="I24" s="18" t="s">
        <v>391</v>
      </c>
      <c r="J24" s="15">
        <v>520</v>
      </c>
      <c r="K24" s="15">
        <v>27</v>
      </c>
      <c r="L24" s="20">
        <f t="shared" si="4"/>
        <v>5.1923076923076926E-2</v>
      </c>
      <c r="M24" s="12">
        <v>23</v>
      </c>
      <c r="N24" s="12">
        <v>4</v>
      </c>
      <c r="P24" s="32" t="s">
        <v>500</v>
      </c>
      <c r="Q24" s="23"/>
      <c r="Y24" s="6"/>
    </row>
    <row r="25" spans="1:25" ht="16.5">
      <c r="A25" s="25">
        <v>46024</v>
      </c>
      <c r="B25" s="29">
        <v>0.54583333333333328</v>
      </c>
      <c r="C25" s="19">
        <v>46028</v>
      </c>
      <c r="D25" s="24" t="str">
        <f t="shared" si="3"/>
        <v>RRA</v>
      </c>
      <c r="E25" s="13" t="str">
        <f>VLOOKUP(D:D,工作表2!A:B,2,0)</f>
        <v>邦善</v>
      </c>
      <c r="F25" s="13" t="str">
        <f>VLOOKUP(D:D,工作表2!A:C,3,0)</f>
        <v>灰</v>
      </c>
      <c r="G25" s="17">
        <v>10304255</v>
      </c>
      <c r="H25" s="17" t="s">
        <v>458</v>
      </c>
      <c r="I25" s="18" t="s">
        <v>459</v>
      </c>
      <c r="J25" s="15">
        <v>560</v>
      </c>
      <c r="K25" s="15">
        <v>24</v>
      </c>
      <c r="L25" s="20">
        <f t="shared" si="4"/>
        <v>4.2857142857142858E-2</v>
      </c>
      <c r="M25" s="12">
        <v>20</v>
      </c>
      <c r="N25" s="12">
        <v>4</v>
      </c>
      <c r="P25" s="32" t="s">
        <v>500</v>
      </c>
      <c r="Q25" s="23"/>
      <c r="Y25" s="6"/>
    </row>
    <row r="26" spans="1:25" ht="16.5">
      <c r="A26" s="25">
        <v>46024</v>
      </c>
      <c r="B26" s="29">
        <v>0.62638888888888888</v>
      </c>
      <c r="C26" s="19">
        <v>46028</v>
      </c>
      <c r="D26" s="24" t="str">
        <f t="shared" si="3"/>
        <v>76S</v>
      </c>
      <c r="E26" s="13" t="str">
        <f>VLOOKUP(D:D,工作表2!A:B,2,0)</f>
        <v>敦陽</v>
      </c>
      <c r="F26" s="13" t="str">
        <f>VLOOKUP(D:D,工作表2!A:C,3,0)</f>
        <v>銀</v>
      </c>
      <c r="G26" s="17">
        <v>10309166</v>
      </c>
      <c r="H26" s="17" t="s">
        <v>428</v>
      </c>
      <c r="I26" s="18" t="s">
        <v>433</v>
      </c>
      <c r="J26" s="15">
        <v>134</v>
      </c>
      <c r="K26" s="15">
        <v>11</v>
      </c>
      <c r="L26" s="20">
        <f t="shared" si="4"/>
        <v>8.2089552238805971E-2</v>
      </c>
      <c r="M26" s="12">
        <v>8</v>
      </c>
      <c r="N26" s="12">
        <v>3</v>
      </c>
      <c r="P26" s="32" t="s">
        <v>500</v>
      </c>
      <c r="Q26" s="23" t="s">
        <v>961</v>
      </c>
      <c r="Y26" s="6"/>
    </row>
    <row r="27" spans="1:25" ht="16.5">
      <c r="A27" s="25">
        <v>46024</v>
      </c>
      <c r="B27" s="29">
        <v>0.63124999999999998</v>
      </c>
      <c r="C27" s="19">
        <v>46028</v>
      </c>
      <c r="D27" s="24" t="str">
        <f t="shared" si="3"/>
        <v>39A</v>
      </c>
      <c r="E27" s="13" t="str">
        <f>VLOOKUP(D:D,工作表2!A:B,2,0)</f>
        <v>敦陽</v>
      </c>
      <c r="F27" s="13" t="str">
        <f>VLOOKUP(D:D,工作表2!A:C,3,0)</f>
        <v>灰</v>
      </c>
      <c r="G27" s="17">
        <v>10305406</v>
      </c>
      <c r="H27" s="17" t="s">
        <v>460</v>
      </c>
      <c r="I27" s="18" t="s">
        <v>461</v>
      </c>
      <c r="J27" s="15">
        <v>30</v>
      </c>
      <c r="K27" s="15">
        <v>9</v>
      </c>
      <c r="L27" s="20">
        <f t="shared" si="4"/>
        <v>0.3</v>
      </c>
      <c r="M27" s="12">
        <v>7</v>
      </c>
      <c r="N27" s="12">
        <v>2</v>
      </c>
      <c r="P27" s="32" t="s">
        <v>500</v>
      </c>
      <c r="Q27" s="23"/>
      <c r="Y27" s="6"/>
    </row>
    <row r="28" spans="1:25" ht="16.5">
      <c r="A28" s="25">
        <v>46027</v>
      </c>
      <c r="B28" s="29">
        <v>0.62152777777777779</v>
      </c>
      <c r="C28" s="11">
        <v>46029</v>
      </c>
      <c r="D28" s="24" t="str">
        <f t="shared" ref="D28:D45" si="5">RIGHT(I28,3)</f>
        <v>N9B</v>
      </c>
      <c r="E28" s="13" t="str">
        <f>VLOOKUP(D:D,工作表2!A:B,2,0)</f>
        <v>邦善</v>
      </c>
      <c r="F28" s="13" t="str">
        <f>VLOOKUP(D:D,工作表2!A:C,3,0)</f>
        <v>黑</v>
      </c>
      <c r="G28" s="17">
        <v>10311375</v>
      </c>
      <c r="H28" s="17" t="s">
        <v>447</v>
      </c>
      <c r="I28" s="18" t="s">
        <v>448</v>
      </c>
      <c r="J28" s="15">
        <v>266</v>
      </c>
      <c r="K28" s="15">
        <v>25</v>
      </c>
      <c r="L28" s="20">
        <f t="shared" ref="L28:L45" si="6">K28/J28</f>
        <v>9.3984962406015032E-2</v>
      </c>
      <c r="M28" s="12">
        <v>15</v>
      </c>
      <c r="N28" s="12">
        <v>10</v>
      </c>
      <c r="P28" s="32" t="s">
        <v>500</v>
      </c>
      <c r="Q28" s="23"/>
      <c r="Y28" s="6"/>
    </row>
    <row r="29" spans="1:25" ht="16.5">
      <c r="A29" s="25">
        <v>46027</v>
      </c>
      <c r="B29" s="29">
        <v>0.4770833333333333</v>
      </c>
      <c r="C29" s="11">
        <v>46029</v>
      </c>
      <c r="D29" s="24" t="str">
        <f t="shared" si="5"/>
        <v>NBB</v>
      </c>
      <c r="E29" s="13" t="str">
        <f>VLOOKUP(D:D,工作表2!A:B,2,0)</f>
        <v>邦善</v>
      </c>
      <c r="F29" s="13" t="str">
        <f>VLOOKUP(D:D,工作表2!A:C,3,0)</f>
        <v>霧面黑</v>
      </c>
      <c r="G29" s="17">
        <v>10304238</v>
      </c>
      <c r="H29" s="17" t="s">
        <v>369</v>
      </c>
      <c r="I29" s="18" t="s">
        <v>371</v>
      </c>
      <c r="J29" s="15">
        <v>798</v>
      </c>
      <c r="K29" s="15">
        <v>20</v>
      </c>
      <c r="L29" s="20">
        <f t="shared" si="6"/>
        <v>2.5062656641604009E-2</v>
      </c>
      <c r="M29" s="12">
        <v>15</v>
      </c>
      <c r="N29" s="12">
        <v>5</v>
      </c>
      <c r="P29" s="32" t="s">
        <v>500</v>
      </c>
      <c r="Q29" s="23"/>
      <c r="Y29" s="6"/>
    </row>
    <row r="30" spans="1:25" ht="16.5">
      <c r="A30" s="25">
        <v>46027</v>
      </c>
      <c r="B30" s="29">
        <v>0.47430555555555554</v>
      </c>
      <c r="C30" s="19">
        <v>46029</v>
      </c>
      <c r="D30" s="24" t="str">
        <f t="shared" si="5"/>
        <v>PLB</v>
      </c>
      <c r="E30" s="13" t="str">
        <f>VLOOKUP(D:D,工作表2!A:B,2,0)</f>
        <v>邦善</v>
      </c>
      <c r="F30" s="13" t="str">
        <f>VLOOKUP(D:D,工作表2!A:C,3,0)</f>
        <v>霧面黑</v>
      </c>
      <c r="G30" s="17">
        <v>10309185</v>
      </c>
      <c r="H30" s="17" t="s">
        <v>408</v>
      </c>
      <c r="I30" s="18" t="s">
        <v>411</v>
      </c>
      <c r="J30" s="15">
        <v>1064</v>
      </c>
      <c r="K30" s="15">
        <v>25</v>
      </c>
      <c r="L30" s="20">
        <f t="shared" si="6"/>
        <v>2.3496240601503758E-2</v>
      </c>
      <c r="M30" s="12">
        <v>20</v>
      </c>
      <c r="N30" s="12">
        <v>5</v>
      </c>
      <c r="P30" s="32" t="s">
        <v>500</v>
      </c>
      <c r="Q30" s="23"/>
      <c r="Y30" s="6"/>
    </row>
    <row r="31" spans="1:25" ht="16.5">
      <c r="A31" s="25">
        <v>46027</v>
      </c>
      <c r="B31" s="29">
        <v>0.57222222222222219</v>
      </c>
      <c r="C31" s="19">
        <v>46029</v>
      </c>
      <c r="D31" s="24" t="str">
        <f t="shared" si="5"/>
        <v>Q9B</v>
      </c>
      <c r="E31" s="13" t="str">
        <f>VLOOKUP(D:D,工作表2!A:B,2,0)</f>
        <v>邦善</v>
      </c>
      <c r="F31" s="13" t="str">
        <f>VLOOKUP(D:D,工作表2!A:C,3,0)</f>
        <v>黑</v>
      </c>
      <c r="G31" s="17">
        <v>10304651</v>
      </c>
      <c r="H31" s="17" t="s">
        <v>376</v>
      </c>
      <c r="I31" s="18" t="s">
        <v>380</v>
      </c>
      <c r="J31" s="15">
        <v>1596</v>
      </c>
      <c r="K31" s="15">
        <v>159</v>
      </c>
      <c r="L31" s="20">
        <f t="shared" si="6"/>
        <v>9.9624060150375934E-2</v>
      </c>
      <c r="M31" s="12">
        <v>119</v>
      </c>
      <c r="N31" s="12">
        <v>40</v>
      </c>
      <c r="P31" s="32" t="s">
        <v>500</v>
      </c>
      <c r="Q31" s="23"/>
      <c r="Y31" s="6"/>
    </row>
    <row r="32" spans="1:25" ht="16.5">
      <c r="A32" s="25">
        <v>46024</v>
      </c>
      <c r="B32" s="29">
        <v>0.6333333333333333</v>
      </c>
      <c r="C32" s="19">
        <v>46029</v>
      </c>
      <c r="D32" s="24" t="str">
        <f t="shared" si="5"/>
        <v>UUS</v>
      </c>
      <c r="E32" s="13" t="str">
        <f>VLOOKUP(D:D,工作表2!A:B,2,0)</f>
        <v>邦善</v>
      </c>
      <c r="F32" s="13" t="str">
        <f>VLOOKUP(D:D,工作表2!A:C,3,0)</f>
        <v>銀</v>
      </c>
      <c r="G32" s="17">
        <v>10304242</v>
      </c>
      <c r="H32" s="17" t="s">
        <v>418</v>
      </c>
      <c r="I32" s="18" t="s">
        <v>421</v>
      </c>
      <c r="J32" s="15">
        <v>1330</v>
      </c>
      <c r="K32" s="15">
        <v>101</v>
      </c>
      <c r="L32" s="20">
        <f t="shared" si="6"/>
        <v>7.5939849624060154E-2</v>
      </c>
      <c r="M32" s="12">
        <v>89</v>
      </c>
      <c r="N32" s="12">
        <v>12</v>
      </c>
      <c r="P32" s="32" t="s">
        <v>500</v>
      </c>
      <c r="Q32" s="23"/>
      <c r="Y32" s="6"/>
    </row>
    <row r="33" spans="1:25" ht="16.5">
      <c r="A33" s="25">
        <v>46027</v>
      </c>
      <c r="B33" s="29">
        <v>0.53055555555555556</v>
      </c>
      <c r="C33" s="19">
        <v>46029</v>
      </c>
      <c r="D33" s="24" t="str">
        <f t="shared" si="5"/>
        <v>NBB</v>
      </c>
      <c r="E33" s="13" t="str">
        <f>VLOOKUP(D:D,工作表2!A:B,2,0)</f>
        <v>邦善</v>
      </c>
      <c r="F33" s="13" t="str">
        <f>VLOOKUP(D:D,工作表2!A:C,3,0)</f>
        <v>霧面黑</v>
      </c>
      <c r="G33" s="17">
        <v>10304231</v>
      </c>
      <c r="H33" s="17" t="s">
        <v>306</v>
      </c>
      <c r="I33" s="18" t="s">
        <v>307</v>
      </c>
      <c r="J33" s="15">
        <v>1596</v>
      </c>
      <c r="K33" s="15">
        <v>17</v>
      </c>
      <c r="L33" s="20">
        <f t="shared" si="6"/>
        <v>1.0651629072681704E-2</v>
      </c>
      <c r="M33" s="12">
        <v>14</v>
      </c>
      <c r="N33" s="12">
        <v>3</v>
      </c>
      <c r="P33" s="32" t="s">
        <v>500</v>
      </c>
      <c r="Q33" s="23"/>
      <c r="Y33" s="6"/>
    </row>
    <row r="34" spans="1:25" ht="16.5">
      <c r="A34" s="25">
        <v>46027</v>
      </c>
      <c r="B34" s="29">
        <v>0.58124999999999993</v>
      </c>
      <c r="C34" s="19">
        <v>46029</v>
      </c>
      <c r="D34" s="24" t="str">
        <f t="shared" si="5"/>
        <v>NEA</v>
      </c>
      <c r="E34" s="13" t="str">
        <f>VLOOKUP(D:D,工作表2!A:B,2,0)</f>
        <v>邦善</v>
      </c>
      <c r="F34" s="13" t="str">
        <f>VLOOKUP(D:D,工作表2!A:C,3,0)</f>
        <v>灰</v>
      </c>
      <c r="G34" s="17">
        <v>10305413</v>
      </c>
      <c r="H34" s="17" t="s">
        <v>396</v>
      </c>
      <c r="I34" s="18" t="s">
        <v>398</v>
      </c>
      <c r="J34" s="15">
        <v>532</v>
      </c>
      <c r="K34" s="15">
        <v>42</v>
      </c>
      <c r="L34" s="20">
        <f t="shared" si="6"/>
        <v>7.8947368421052627E-2</v>
      </c>
      <c r="M34" s="12">
        <v>32</v>
      </c>
      <c r="N34" s="12">
        <v>10</v>
      </c>
      <c r="P34" s="32" t="s">
        <v>500</v>
      </c>
      <c r="Q34" s="23"/>
      <c r="Y34" s="6"/>
    </row>
    <row r="35" spans="1:25" ht="16.5">
      <c r="A35" s="25">
        <v>46027</v>
      </c>
      <c r="B35" s="29">
        <v>0.58402777777777781</v>
      </c>
      <c r="C35" s="19">
        <v>46029</v>
      </c>
      <c r="D35" s="24" t="str">
        <f t="shared" si="5"/>
        <v>NXW</v>
      </c>
      <c r="E35" s="13" t="str">
        <f>VLOOKUP(D:D,工作表2!A:B,2,0)</f>
        <v>邦善</v>
      </c>
      <c r="F35" s="13" t="str">
        <f>VLOOKUP(D:D,工作表2!A:C,3,0)</f>
        <v>白</v>
      </c>
      <c r="G35" s="17">
        <v>10304230</v>
      </c>
      <c r="H35" s="17" t="s">
        <v>466</v>
      </c>
      <c r="I35" s="18" t="s">
        <v>467</v>
      </c>
      <c r="J35" s="15">
        <v>420</v>
      </c>
      <c r="K35" s="15">
        <v>22</v>
      </c>
      <c r="L35" s="20">
        <f t="shared" si="6"/>
        <v>5.2380952380952382E-2</v>
      </c>
      <c r="M35" s="12">
        <v>17</v>
      </c>
      <c r="N35" s="12">
        <v>5</v>
      </c>
      <c r="P35" s="32" t="s">
        <v>500</v>
      </c>
      <c r="Q35" s="23"/>
      <c r="Y35" s="6"/>
    </row>
    <row r="36" spans="1:25" ht="16.5">
      <c r="A36" s="25">
        <v>46027</v>
      </c>
      <c r="B36" s="29">
        <v>0.57916666666666672</v>
      </c>
      <c r="C36" s="19">
        <v>46029</v>
      </c>
      <c r="D36" s="24" t="str">
        <f t="shared" si="5"/>
        <v>VPL</v>
      </c>
      <c r="E36" s="13" t="str">
        <f>VLOOKUP(D:D,工作表2!A:B,2,0)</f>
        <v>邦善</v>
      </c>
      <c r="F36" s="13" t="str">
        <f>VLOOKUP(D:D,工作表2!A:C,3,0)</f>
        <v>藍</v>
      </c>
      <c r="G36" s="17">
        <v>10304229</v>
      </c>
      <c r="H36" s="17" t="s">
        <v>325</v>
      </c>
      <c r="I36" s="18" t="s">
        <v>326</v>
      </c>
      <c r="J36" s="15">
        <v>798</v>
      </c>
      <c r="K36" s="15">
        <v>42</v>
      </c>
      <c r="L36" s="20">
        <f t="shared" si="6"/>
        <v>5.2631578947368418E-2</v>
      </c>
      <c r="M36" s="12">
        <v>35</v>
      </c>
      <c r="N36" s="12">
        <v>7</v>
      </c>
      <c r="P36" s="32" t="s">
        <v>500</v>
      </c>
      <c r="Q36" s="23"/>
      <c r="Y36" s="6"/>
    </row>
    <row r="37" spans="1:25" ht="16.5">
      <c r="A37" s="25">
        <v>46027</v>
      </c>
      <c r="B37" s="29">
        <v>0.62291666666666667</v>
      </c>
      <c r="C37" s="19">
        <v>46029</v>
      </c>
      <c r="D37" s="24" t="str">
        <f t="shared" si="5"/>
        <v>WNS</v>
      </c>
      <c r="E37" s="13" t="str">
        <f>VLOOKUP(D:D,工作表2!A:B,2,0)</f>
        <v>邦善</v>
      </c>
      <c r="F37" s="13" t="str">
        <f>VLOOKUP(D:D,工作表2!A:C,3,0)</f>
        <v>銀</v>
      </c>
      <c r="G37" s="17">
        <v>10310307</v>
      </c>
      <c r="H37" s="17" t="s">
        <v>420</v>
      </c>
      <c r="I37" s="18" t="s">
        <v>423</v>
      </c>
      <c r="J37" s="15">
        <v>40</v>
      </c>
      <c r="K37" s="15">
        <v>5</v>
      </c>
      <c r="L37" s="20">
        <f t="shared" si="6"/>
        <v>0.125</v>
      </c>
      <c r="M37" s="12">
        <v>3</v>
      </c>
      <c r="N37" s="12">
        <v>2</v>
      </c>
      <c r="P37" s="32" t="s">
        <v>500</v>
      </c>
      <c r="Q37" s="23"/>
      <c r="Y37" s="6"/>
    </row>
    <row r="38" spans="1:25" ht="16.5">
      <c r="A38" s="25">
        <v>46028</v>
      </c>
      <c r="B38" s="29">
        <v>0.61805555555555558</v>
      </c>
      <c r="C38" s="19">
        <v>46029</v>
      </c>
      <c r="D38" s="24" t="str">
        <f t="shared" si="5"/>
        <v>NGW</v>
      </c>
      <c r="E38" s="13" t="str">
        <f>VLOOKUP(D:D,工作表2!A:B,2,0)</f>
        <v>邦善</v>
      </c>
      <c r="F38" s="13" t="str">
        <f>VLOOKUP(D:D,工作表2!A:C,3,0)</f>
        <v>白</v>
      </c>
      <c r="G38" s="17">
        <v>10304245</v>
      </c>
      <c r="H38" s="17" t="s">
        <v>425</v>
      </c>
      <c r="I38" s="18" t="s">
        <v>430</v>
      </c>
      <c r="J38" s="15">
        <v>560</v>
      </c>
      <c r="K38" s="15">
        <v>77</v>
      </c>
      <c r="L38" s="20">
        <f t="shared" si="6"/>
        <v>0.13750000000000001</v>
      </c>
      <c r="M38" s="12">
        <v>50</v>
      </c>
      <c r="N38" s="12">
        <v>27</v>
      </c>
      <c r="P38" s="32" t="s">
        <v>500</v>
      </c>
      <c r="Q38" s="23" t="s">
        <v>962</v>
      </c>
      <c r="Y38" s="6"/>
    </row>
    <row r="39" spans="1:25" ht="16.5">
      <c r="A39" s="25">
        <v>46027</v>
      </c>
      <c r="B39" s="29">
        <v>0.58680555555555558</v>
      </c>
      <c r="C39" s="19">
        <v>46029</v>
      </c>
      <c r="D39" s="24" t="str">
        <f t="shared" si="5"/>
        <v>RRA</v>
      </c>
      <c r="E39" s="13" t="str">
        <f>VLOOKUP(D:D,工作表2!A:B,2,0)</f>
        <v>邦善</v>
      </c>
      <c r="F39" s="13" t="str">
        <f>VLOOKUP(D:D,工作表2!A:C,3,0)</f>
        <v>灰</v>
      </c>
      <c r="G39" s="17">
        <v>10304253</v>
      </c>
      <c r="H39" s="17" t="s">
        <v>393</v>
      </c>
      <c r="I39" s="18" t="s">
        <v>395</v>
      </c>
      <c r="J39" s="15">
        <v>240</v>
      </c>
      <c r="K39" s="15">
        <v>24</v>
      </c>
      <c r="L39" s="20">
        <f t="shared" si="6"/>
        <v>0.1</v>
      </c>
      <c r="M39" s="12">
        <v>20</v>
      </c>
      <c r="N39" s="12">
        <v>4</v>
      </c>
      <c r="P39" s="32" t="s">
        <v>500</v>
      </c>
      <c r="Q39" s="23"/>
      <c r="Y39" s="6"/>
    </row>
    <row r="40" spans="1:25" ht="16.5">
      <c r="A40" s="25">
        <v>46024</v>
      </c>
      <c r="B40" s="29">
        <v>0.57916666666666672</v>
      </c>
      <c r="C40" s="19">
        <v>46029</v>
      </c>
      <c r="D40" s="24" t="str">
        <f t="shared" si="5"/>
        <v>SYL</v>
      </c>
      <c r="E40" s="13" t="str">
        <f>VLOOKUP(D:D,工作表2!A:B,2,0)</f>
        <v>邦善</v>
      </c>
      <c r="F40" s="13" t="str">
        <f>VLOOKUP(D:D,工作表2!A:C,3,0)</f>
        <v>藍</v>
      </c>
      <c r="G40" s="17">
        <v>10304250</v>
      </c>
      <c r="H40" s="17" t="s">
        <v>424</v>
      </c>
      <c r="I40" s="18" t="s">
        <v>429</v>
      </c>
      <c r="J40" s="15">
        <v>240</v>
      </c>
      <c r="K40" s="15">
        <v>6</v>
      </c>
      <c r="L40" s="20">
        <f t="shared" si="6"/>
        <v>2.5000000000000001E-2</v>
      </c>
      <c r="M40" s="12">
        <v>4</v>
      </c>
      <c r="N40" s="12">
        <v>2</v>
      </c>
      <c r="P40" s="32" t="s">
        <v>500</v>
      </c>
      <c r="Q40" s="23"/>
      <c r="Y40" s="6"/>
    </row>
    <row r="41" spans="1:25">
      <c r="A41" s="25">
        <v>46024</v>
      </c>
      <c r="B41" s="29">
        <v>0.53749999999999998</v>
      </c>
      <c r="C41" s="19">
        <v>46029</v>
      </c>
      <c r="D41" s="24" t="str">
        <f t="shared" si="5"/>
        <v>NGW</v>
      </c>
      <c r="E41" s="13" t="str">
        <f>VLOOKUP(D:D,工作表2!A:B,2,0)</f>
        <v>邦善</v>
      </c>
      <c r="F41" s="13" t="str">
        <f>VLOOKUP(D:D,工作表2!A:C,3,0)</f>
        <v>白</v>
      </c>
      <c r="G41" s="17">
        <v>10304248</v>
      </c>
      <c r="H41" s="17" t="s">
        <v>382</v>
      </c>
      <c r="I41" s="18" t="s">
        <v>387</v>
      </c>
      <c r="J41" s="15">
        <v>400</v>
      </c>
      <c r="K41" s="15">
        <v>29</v>
      </c>
      <c r="L41" s="20">
        <f t="shared" si="6"/>
        <v>7.2499999999999995E-2</v>
      </c>
      <c r="M41" s="12">
        <v>17</v>
      </c>
      <c r="N41" s="12">
        <v>3</v>
      </c>
      <c r="P41" s="32" t="s">
        <v>512</v>
      </c>
      <c r="Q41" s="23" t="s">
        <v>963</v>
      </c>
      <c r="R41" s="15">
        <v>9</v>
      </c>
      <c r="Y41" s="6"/>
    </row>
    <row r="42" spans="1:25" ht="16.5">
      <c r="A42" s="25">
        <v>46024</v>
      </c>
      <c r="B42" s="29">
        <v>0.56111111111111112</v>
      </c>
      <c r="C42" s="19">
        <v>46029</v>
      </c>
      <c r="D42" s="24" t="str">
        <f t="shared" si="5"/>
        <v>NGW</v>
      </c>
      <c r="E42" s="13" t="str">
        <f>VLOOKUP(D:D,工作表2!A:B,2,0)</f>
        <v>邦善</v>
      </c>
      <c r="F42" s="13" t="str">
        <f>VLOOKUP(D:D,工作表2!A:C,3,0)</f>
        <v>白</v>
      </c>
      <c r="G42" s="17">
        <v>10304249</v>
      </c>
      <c r="H42" s="17" t="s">
        <v>435</v>
      </c>
      <c r="I42" s="18" t="s">
        <v>437</v>
      </c>
      <c r="J42" s="15">
        <v>240</v>
      </c>
      <c r="K42" s="15">
        <v>18</v>
      </c>
      <c r="L42" s="20">
        <f t="shared" si="6"/>
        <v>7.4999999999999997E-2</v>
      </c>
      <c r="M42" s="12">
        <v>13</v>
      </c>
      <c r="N42" s="12">
        <v>5</v>
      </c>
      <c r="P42" s="32" t="s">
        <v>500</v>
      </c>
      <c r="Q42" s="23" t="s">
        <v>962</v>
      </c>
      <c r="Y42" s="6"/>
    </row>
    <row r="43" spans="1:25" ht="16.5">
      <c r="A43" s="25">
        <v>46027</v>
      </c>
      <c r="B43" s="29">
        <v>0.62569444444444444</v>
      </c>
      <c r="C43" s="19">
        <v>46029</v>
      </c>
      <c r="D43" s="24" t="str">
        <f t="shared" si="5"/>
        <v>2US</v>
      </c>
      <c r="E43" s="13" t="str">
        <f>VLOOKUP(D:D,工作表2!A:B,2,0)</f>
        <v>建榮</v>
      </c>
      <c r="F43" s="13" t="str">
        <f>VLOOKUP(D:D,工作表2!A:C,3,0)</f>
        <v>銀</v>
      </c>
      <c r="G43" s="17">
        <v>10310321</v>
      </c>
      <c r="H43" s="17" t="s">
        <v>454</v>
      </c>
      <c r="I43" s="18" t="s">
        <v>455</v>
      </c>
      <c r="J43" s="15">
        <v>50</v>
      </c>
      <c r="K43" s="15">
        <v>6</v>
      </c>
      <c r="L43" s="20">
        <f t="shared" si="6"/>
        <v>0.12</v>
      </c>
      <c r="M43" s="12">
        <v>4</v>
      </c>
      <c r="N43" s="12">
        <v>2</v>
      </c>
      <c r="P43" s="32" t="s">
        <v>500</v>
      </c>
      <c r="Q43" s="23"/>
      <c r="Y43" s="6"/>
    </row>
    <row r="44" spans="1:25" ht="16.5">
      <c r="A44" s="25">
        <v>46024</v>
      </c>
      <c r="B44" s="29">
        <v>0.63888888888888895</v>
      </c>
      <c r="C44" s="19">
        <v>46029</v>
      </c>
      <c r="D44" s="24" t="str">
        <f t="shared" si="5"/>
        <v>2US</v>
      </c>
      <c r="E44" s="13" t="str">
        <f>VLOOKUP(D:D,工作表2!A:B,2,0)</f>
        <v>建榮</v>
      </c>
      <c r="F44" s="13" t="str">
        <f>VLOOKUP(D:D,工作表2!A:C,3,0)</f>
        <v>銀</v>
      </c>
      <c r="G44" s="17">
        <v>10309174</v>
      </c>
      <c r="H44" s="17" t="s">
        <v>454</v>
      </c>
      <c r="I44" s="18" t="s">
        <v>455</v>
      </c>
      <c r="J44" s="15">
        <v>30</v>
      </c>
      <c r="K44" s="15">
        <v>5</v>
      </c>
      <c r="L44" s="20">
        <f t="shared" si="6"/>
        <v>0.16666666666666666</v>
      </c>
      <c r="M44" s="12">
        <v>4</v>
      </c>
      <c r="N44" s="12">
        <v>1</v>
      </c>
      <c r="P44" s="32" t="s">
        <v>500</v>
      </c>
      <c r="Q44" s="23"/>
      <c r="Y44" s="6"/>
    </row>
    <row r="45" spans="1:25" ht="16.5">
      <c r="A45" s="25">
        <v>46027</v>
      </c>
      <c r="B45" s="29">
        <v>0.625</v>
      </c>
      <c r="C45" s="19">
        <v>46029</v>
      </c>
      <c r="D45" s="24" t="str">
        <f t="shared" si="5"/>
        <v>WNS</v>
      </c>
      <c r="E45" s="13" t="str">
        <f>VLOOKUP(D:D,工作表2!A:B,2,0)</f>
        <v>邦善</v>
      </c>
      <c r="F45" s="13" t="str">
        <f>VLOOKUP(D:D,工作表2!A:C,3,0)</f>
        <v>銀</v>
      </c>
      <c r="G45" s="17">
        <v>10310314</v>
      </c>
      <c r="H45" s="17" t="s">
        <v>456</v>
      </c>
      <c r="I45" s="18" t="s">
        <v>457</v>
      </c>
      <c r="J45" s="15">
        <v>40</v>
      </c>
      <c r="K45" s="15">
        <v>1</v>
      </c>
      <c r="L45" s="20">
        <f t="shared" si="6"/>
        <v>2.5000000000000001E-2</v>
      </c>
      <c r="M45" s="12">
        <v>1</v>
      </c>
      <c r="P45" s="32" t="s">
        <v>500</v>
      </c>
      <c r="Q45" s="23"/>
      <c r="Y45" s="6"/>
    </row>
    <row r="46" spans="1:25" ht="16.5">
      <c r="A46" s="25">
        <v>46027</v>
      </c>
      <c r="B46" s="29">
        <v>0.4770833333333333</v>
      </c>
      <c r="C46" s="19">
        <v>46030</v>
      </c>
      <c r="D46" s="24" t="str">
        <f t="shared" ref="D46:D56" si="7">RIGHT(I46,3)</f>
        <v>NBB</v>
      </c>
      <c r="E46" s="13" t="str">
        <f>VLOOKUP(D:D,工作表2!A:B,2,0)</f>
        <v>邦善</v>
      </c>
      <c r="F46" s="13" t="str">
        <f>VLOOKUP(D:D,工作表2!A:C,3,0)</f>
        <v>霧面黑</v>
      </c>
      <c r="G46" s="17">
        <v>10305410</v>
      </c>
      <c r="H46" s="17" t="s">
        <v>369</v>
      </c>
      <c r="I46" s="18" t="s">
        <v>371</v>
      </c>
      <c r="J46" s="15">
        <v>2128</v>
      </c>
      <c r="K46" s="15">
        <v>55</v>
      </c>
      <c r="L46" s="20">
        <f t="shared" ref="L46:L56" si="8">K46/J46</f>
        <v>2.5845864661654134E-2</v>
      </c>
      <c r="M46" s="12">
        <v>40</v>
      </c>
      <c r="N46" s="12">
        <v>15</v>
      </c>
      <c r="P46" s="32" t="s">
        <v>500</v>
      </c>
      <c r="Q46" s="23"/>
      <c r="Y46" s="6"/>
    </row>
    <row r="47" spans="1:25" ht="16.5">
      <c r="A47" s="25">
        <v>46028</v>
      </c>
      <c r="B47" s="29">
        <v>0.53541666666666665</v>
      </c>
      <c r="C47" s="19">
        <v>46030</v>
      </c>
      <c r="D47" s="24" t="str">
        <f t="shared" si="7"/>
        <v>NCB</v>
      </c>
      <c r="E47" s="13" t="str">
        <f>VLOOKUP(D:D,工作表2!A:B,2,0)</f>
        <v>邦善</v>
      </c>
      <c r="F47" s="13" t="str">
        <f>VLOOKUP(D:D,工作表2!A:C,3,0)</f>
        <v>黑</v>
      </c>
      <c r="G47" s="17">
        <v>10305412</v>
      </c>
      <c r="H47" s="17" t="s">
        <v>368</v>
      </c>
      <c r="I47" s="18" t="s">
        <v>370</v>
      </c>
      <c r="J47" s="15">
        <v>2660</v>
      </c>
      <c r="K47" s="15">
        <v>200</v>
      </c>
      <c r="L47" s="20">
        <f t="shared" si="8"/>
        <v>7.5187969924812026E-2</v>
      </c>
      <c r="M47" s="12">
        <v>150</v>
      </c>
      <c r="N47" s="12">
        <v>50</v>
      </c>
      <c r="P47" s="32" t="s">
        <v>500</v>
      </c>
      <c r="Q47" s="23"/>
      <c r="Y47" s="6"/>
    </row>
    <row r="48" spans="1:25" ht="16.5">
      <c r="A48" s="25">
        <v>46028</v>
      </c>
      <c r="B48" s="29">
        <v>0.56319444444444444</v>
      </c>
      <c r="C48" s="19">
        <v>46030</v>
      </c>
      <c r="D48" s="24" t="str">
        <f t="shared" si="7"/>
        <v>RCA</v>
      </c>
      <c r="E48" s="13" t="str">
        <f>VLOOKUP(D:D,工作表2!A:B,2,0)</f>
        <v>邦善</v>
      </c>
      <c r="F48" s="13" t="str">
        <f>VLOOKUP(D:D,工作表2!A:C,3,0)</f>
        <v>灰</v>
      </c>
      <c r="G48" s="17">
        <v>10305414</v>
      </c>
      <c r="H48" s="17" t="s">
        <v>402</v>
      </c>
      <c r="I48" s="18" t="s">
        <v>404</v>
      </c>
      <c r="J48" s="15">
        <v>266</v>
      </c>
      <c r="K48" s="15">
        <v>17</v>
      </c>
      <c r="L48" s="20">
        <f t="shared" si="8"/>
        <v>6.3909774436090222E-2</v>
      </c>
      <c r="M48" s="12">
        <v>12</v>
      </c>
      <c r="N48" s="12">
        <v>5</v>
      </c>
      <c r="P48" s="32" t="s">
        <v>500</v>
      </c>
      <c r="Q48" s="23"/>
      <c r="Y48" s="6"/>
    </row>
    <row r="49" spans="1:25" ht="16.5">
      <c r="A49" s="25">
        <v>46029</v>
      </c>
      <c r="B49" s="29">
        <v>0.38611111111111113</v>
      </c>
      <c r="C49" s="19">
        <v>46030</v>
      </c>
      <c r="D49" s="24" t="str">
        <f t="shared" si="7"/>
        <v>QRB</v>
      </c>
      <c r="E49" s="13" t="str">
        <f>VLOOKUP(D:D,工作表2!A:B,2,0)</f>
        <v>邦善</v>
      </c>
      <c r="F49" s="13" t="str">
        <f>VLOOKUP(D:D,工作表2!A:C,3,0)</f>
        <v>霧面黑</v>
      </c>
      <c r="G49" s="17">
        <v>10309230</v>
      </c>
      <c r="H49" s="17" t="s">
        <v>170</v>
      </c>
      <c r="I49" s="18" t="s">
        <v>171</v>
      </c>
      <c r="J49" s="15">
        <v>25802</v>
      </c>
      <c r="K49" s="15">
        <v>1586</v>
      </c>
      <c r="L49" s="20">
        <f t="shared" si="8"/>
        <v>6.1468103247810248E-2</v>
      </c>
      <c r="M49" s="12">
        <v>1274</v>
      </c>
      <c r="N49" s="12">
        <v>300</v>
      </c>
      <c r="O49" s="15">
        <v>12</v>
      </c>
      <c r="P49" s="32" t="s">
        <v>500</v>
      </c>
      <c r="Q49" s="23"/>
      <c r="Y49" s="6"/>
    </row>
    <row r="50" spans="1:25" ht="16.5">
      <c r="A50" s="25">
        <v>46028</v>
      </c>
      <c r="B50" s="29">
        <v>0.38194444444444442</v>
      </c>
      <c r="C50" s="19">
        <v>46030</v>
      </c>
      <c r="D50" s="24" t="str">
        <f t="shared" si="7"/>
        <v>QRB</v>
      </c>
      <c r="E50" s="13" t="str">
        <f>VLOOKUP(D:D,工作表2!A:B,2,0)</f>
        <v>邦善</v>
      </c>
      <c r="F50" s="13" t="str">
        <f>VLOOKUP(D:D,工作表2!A:C,3,0)</f>
        <v>霧面黑</v>
      </c>
      <c r="G50" s="17">
        <v>10309229</v>
      </c>
      <c r="H50" s="17" t="s">
        <v>170</v>
      </c>
      <c r="I50" s="18" t="s">
        <v>171</v>
      </c>
      <c r="J50" s="15">
        <v>25802</v>
      </c>
      <c r="K50" s="15">
        <v>1215</v>
      </c>
      <c r="L50" s="20">
        <f t="shared" si="8"/>
        <v>4.7089372916828152E-2</v>
      </c>
      <c r="M50" s="12">
        <v>1086</v>
      </c>
      <c r="N50" s="12">
        <v>129</v>
      </c>
      <c r="P50" s="32" t="s">
        <v>500</v>
      </c>
      <c r="Q50" s="23"/>
      <c r="Y50" s="6"/>
    </row>
    <row r="51" spans="1:25" ht="16.5">
      <c r="A51" s="25">
        <v>46029</v>
      </c>
      <c r="B51" s="29">
        <v>0.52152777777777781</v>
      </c>
      <c r="C51" s="19">
        <v>46030</v>
      </c>
      <c r="D51" s="24" t="str">
        <f t="shared" si="7"/>
        <v>XNA</v>
      </c>
      <c r="E51" s="13" t="str">
        <f>VLOOKUP(D:D,工作表2!A:B,2,0)</f>
        <v>邦善</v>
      </c>
      <c r="F51" s="13" t="str">
        <f>VLOOKUP(D:D,工作表2!A:C,3,0)</f>
        <v>霧面灰</v>
      </c>
      <c r="G51" s="17">
        <v>10309272</v>
      </c>
      <c r="H51" s="17" t="s">
        <v>489</v>
      </c>
      <c r="I51" s="18" t="s">
        <v>490</v>
      </c>
      <c r="J51" s="15">
        <v>266</v>
      </c>
      <c r="K51" s="15">
        <v>23</v>
      </c>
      <c r="L51" s="20">
        <f t="shared" si="8"/>
        <v>8.646616541353383E-2</v>
      </c>
      <c r="M51" s="12">
        <v>16</v>
      </c>
      <c r="N51" s="12">
        <v>7</v>
      </c>
      <c r="P51" s="32" t="s">
        <v>500</v>
      </c>
      <c r="Q51" s="23"/>
      <c r="Y51" s="6"/>
    </row>
    <row r="52" spans="1:25" ht="16.5">
      <c r="A52" s="25">
        <v>46027</v>
      </c>
      <c r="B52" s="29">
        <v>0.53680555555555554</v>
      </c>
      <c r="C52" s="19">
        <v>46030</v>
      </c>
      <c r="D52" s="24" t="str">
        <f t="shared" si="7"/>
        <v>N8B</v>
      </c>
      <c r="E52" s="13" t="str">
        <f>VLOOKUP(D:D,工作表2!A:B,2,0)</f>
        <v>邦善</v>
      </c>
      <c r="F52" s="13" t="str">
        <f>VLOOKUP(D:D,工作表2!A:C,3,0)</f>
        <v>霧面黑</v>
      </c>
      <c r="G52" s="17">
        <v>10305411</v>
      </c>
      <c r="H52" s="17" t="s">
        <v>5</v>
      </c>
      <c r="I52" s="18" t="s">
        <v>6</v>
      </c>
      <c r="J52" s="15">
        <v>3724</v>
      </c>
      <c r="K52" s="15">
        <v>47</v>
      </c>
      <c r="L52" s="20">
        <f t="shared" si="8"/>
        <v>1.2620837808807734E-2</v>
      </c>
      <c r="M52" s="12">
        <v>35</v>
      </c>
      <c r="N52" s="12">
        <v>12</v>
      </c>
      <c r="P52" s="32" t="s">
        <v>500</v>
      </c>
      <c r="Q52" s="23"/>
      <c r="Y52" s="6"/>
    </row>
    <row r="53" spans="1:25" ht="16.5">
      <c r="A53" s="25">
        <v>46029</v>
      </c>
      <c r="B53" s="29">
        <v>0.59375</v>
      </c>
      <c r="C53" s="19">
        <v>46030</v>
      </c>
      <c r="D53" s="24" t="str">
        <f t="shared" si="7"/>
        <v>WNS</v>
      </c>
      <c r="E53" s="13" t="str">
        <f>VLOOKUP(D:D,工作表2!A:B,2,0)</f>
        <v>邦善</v>
      </c>
      <c r="F53" s="13" t="str">
        <f>VLOOKUP(D:D,工作表2!A:C,3,0)</f>
        <v>銀</v>
      </c>
      <c r="G53" s="17">
        <v>10310304</v>
      </c>
      <c r="H53" s="17" t="s">
        <v>436</v>
      </c>
      <c r="I53" s="18" t="s">
        <v>438</v>
      </c>
      <c r="J53" s="15">
        <v>80</v>
      </c>
      <c r="K53" s="15">
        <v>19</v>
      </c>
      <c r="L53" s="20">
        <f t="shared" si="8"/>
        <v>0.23749999999999999</v>
      </c>
      <c r="M53" s="12">
        <v>14</v>
      </c>
      <c r="N53" s="12">
        <v>5</v>
      </c>
      <c r="P53" s="32" t="s">
        <v>500</v>
      </c>
      <c r="Q53" s="23" t="s">
        <v>964</v>
      </c>
      <c r="Y53" s="6"/>
    </row>
    <row r="54" spans="1:25" ht="16.5">
      <c r="A54" s="25">
        <v>46028</v>
      </c>
      <c r="B54" s="29">
        <v>0.59236111111111112</v>
      </c>
      <c r="C54" s="19">
        <v>46030</v>
      </c>
      <c r="D54" s="24" t="str">
        <f t="shared" si="7"/>
        <v>NGW</v>
      </c>
      <c r="E54" s="13" t="str">
        <f>VLOOKUP(D:D,工作表2!A:B,2,0)</f>
        <v>邦善</v>
      </c>
      <c r="F54" s="13" t="str">
        <f>VLOOKUP(D:D,工作表2!A:C,3,0)</f>
        <v>白</v>
      </c>
      <c r="G54" s="17">
        <v>10304252</v>
      </c>
      <c r="H54" s="17" t="s">
        <v>372</v>
      </c>
      <c r="I54" s="18" t="s">
        <v>373</v>
      </c>
      <c r="J54" s="15">
        <v>560</v>
      </c>
      <c r="K54" s="15">
        <v>24</v>
      </c>
      <c r="L54" s="20">
        <f t="shared" si="8"/>
        <v>4.2857142857142858E-2</v>
      </c>
      <c r="M54" s="12">
        <v>19</v>
      </c>
      <c r="N54" s="12">
        <v>5</v>
      </c>
      <c r="P54" s="32" t="s">
        <v>500</v>
      </c>
      <c r="Q54" s="23"/>
      <c r="Y54" s="6"/>
    </row>
    <row r="55" spans="1:25" ht="16.5">
      <c r="A55" s="25">
        <v>46028</v>
      </c>
      <c r="B55" s="29">
        <v>0.60486111111111118</v>
      </c>
      <c r="C55" s="19">
        <v>46030</v>
      </c>
      <c r="D55" s="24" t="str">
        <f t="shared" si="7"/>
        <v>NGW</v>
      </c>
      <c r="E55" s="13" t="str">
        <f>VLOOKUP(D:D,工作表2!A:B,2,0)</f>
        <v>邦善</v>
      </c>
      <c r="F55" s="13" t="str">
        <f>VLOOKUP(D:D,工作表2!A:C,3,0)</f>
        <v>白</v>
      </c>
      <c r="G55" s="17">
        <v>10304251</v>
      </c>
      <c r="H55" s="17" t="s">
        <v>377</v>
      </c>
      <c r="I55" s="18" t="s">
        <v>381</v>
      </c>
      <c r="J55" s="15">
        <v>530</v>
      </c>
      <c r="K55" s="15">
        <v>20</v>
      </c>
      <c r="L55" s="20">
        <f t="shared" si="8"/>
        <v>3.7735849056603772E-2</v>
      </c>
      <c r="M55" s="12">
        <v>15</v>
      </c>
      <c r="N55" s="12">
        <v>5</v>
      </c>
      <c r="P55" s="32" t="s">
        <v>500</v>
      </c>
      <c r="Q55" s="23"/>
      <c r="Y55" s="6"/>
    </row>
    <row r="56" spans="1:25" ht="16.5">
      <c r="A56" s="25">
        <v>46028</v>
      </c>
      <c r="B56" s="29">
        <v>0.57152777777777775</v>
      </c>
      <c r="C56" s="19">
        <v>46030</v>
      </c>
      <c r="D56" s="24" t="str">
        <f t="shared" si="7"/>
        <v>NGW</v>
      </c>
      <c r="E56" s="13" t="str">
        <f>VLOOKUP(D:D,工作表2!A:B,2,0)</f>
        <v>邦善</v>
      </c>
      <c r="F56" s="13" t="str">
        <f>VLOOKUP(D:D,工作表2!A:C,3,0)</f>
        <v>白</v>
      </c>
      <c r="G56" s="17">
        <v>10305274</v>
      </c>
      <c r="H56" s="17" t="s">
        <v>385</v>
      </c>
      <c r="I56" s="18" t="s">
        <v>390</v>
      </c>
      <c r="J56" s="15">
        <v>840</v>
      </c>
      <c r="K56" s="15">
        <v>64</v>
      </c>
      <c r="L56" s="20">
        <f t="shared" si="8"/>
        <v>7.6190476190476197E-2</v>
      </c>
      <c r="M56" s="12">
        <v>44</v>
      </c>
      <c r="N56" s="12">
        <v>20</v>
      </c>
      <c r="P56" s="32" t="s">
        <v>500</v>
      </c>
      <c r="Q56" s="23"/>
      <c r="Y56" s="6"/>
    </row>
    <row r="57" spans="1:25" ht="16.5">
      <c r="A57" s="25">
        <v>46030</v>
      </c>
      <c r="B57" s="29">
        <v>0.38680555555555557</v>
      </c>
      <c r="C57" s="11">
        <v>46031</v>
      </c>
      <c r="D57" s="24" t="str">
        <f t="shared" ref="D57:D71" si="9">RIGHT(I57,3)</f>
        <v>QRB</v>
      </c>
      <c r="E57" s="13" t="str">
        <f>VLOOKUP(D:D,工作表2!A:B,2,0)</f>
        <v>邦善</v>
      </c>
      <c r="F57" s="13" t="str">
        <f>VLOOKUP(D:D,工作表2!A:C,3,0)</f>
        <v>霧面黑</v>
      </c>
      <c r="G57" s="17">
        <v>10309231</v>
      </c>
      <c r="H57" s="17" t="s">
        <v>170</v>
      </c>
      <c r="I57" s="18" t="s">
        <v>171</v>
      </c>
      <c r="J57" s="15">
        <v>25802</v>
      </c>
      <c r="K57" s="15">
        <v>1402</v>
      </c>
      <c r="L57" s="20">
        <f t="shared" ref="L57:L71" si="10">K57/J57</f>
        <v>5.4336873110611583E-2</v>
      </c>
      <c r="M57" s="12">
        <v>1146</v>
      </c>
      <c r="N57" s="12">
        <v>249</v>
      </c>
      <c r="O57" s="15">
        <v>7</v>
      </c>
      <c r="P57" s="32" t="s">
        <v>500</v>
      </c>
      <c r="Q57" s="23"/>
      <c r="Y57" s="6"/>
    </row>
    <row r="58" spans="1:25" ht="16.5">
      <c r="A58" s="25">
        <v>46029</v>
      </c>
      <c r="B58" s="29">
        <v>0.5229166666666667</v>
      </c>
      <c r="C58" s="11">
        <v>46031</v>
      </c>
      <c r="D58" s="24" t="str">
        <f t="shared" si="9"/>
        <v>TXA</v>
      </c>
      <c r="E58" s="13" t="str">
        <f>VLOOKUP(D:D,工作表2!A:B,2,0)</f>
        <v>邦善</v>
      </c>
      <c r="F58" s="13" t="str">
        <f>VLOOKUP(D:D,工作表2!A:C,3,0)</f>
        <v>灰</v>
      </c>
      <c r="G58" s="17">
        <v>10308449</v>
      </c>
      <c r="H58" s="17" t="s">
        <v>520</v>
      </c>
      <c r="I58" s="18" t="s">
        <v>532</v>
      </c>
      <c r="J58" s="15">
        <v>1862</v>
      </c>
      <c r="K58" s="15">
        <v>98</v>
      </c>
      <c r="L58" s="20">
        <f t="shared" si="10"/>
        <v>5.2631578947368418E-2</v>
      </c>
      <c r="M58" s="12">
        <v>60</v>
      </c>
      <c r="N58" s="12">
        <v>38</v>
      </c>
      <c r="P58" s="32" t="s">
        <v>500</v>
      </c>
      <c r="Q58" s="23"/>
      <c r="Y58" s="6"/>
    </row>
    <row r="59" spans="1:25" ht="16.5">
      <c r="A59" s="25">
        <v>46029</v>
      </c>
      <c r="B59" s="29">
        <v>0.52847222222222223</v>
      </c>
      <c r="C59" s="19">
        <v>46031</v>
      </c>
      <c r="D59" s="24" t="str">
        <f t="shared" si="9"/>
        <v>TXA</v>
      </c>
      <c r="E59" s="13" t="str">
        <f>VLOOKUP(D:D,工作表2!A:B,2,0)</f>
        <v>邦善</v>
      </c>
      <c r="F59" s="13" t="str">
        <f>VLOOKUP(D:D,工作表2!A:C,3,0)</f>
        <v>灰</v>
      </c>
      <c r="G59" s="17">
        <v>10309153</v>
      </c>
      <c r="H59" s="17" t="s">
        <v>523</v>
      </c>
      <c r="I59" s="18" t="s">
        <v>535</v>
      </c>
      <c r="J59" s="15">
        <v>532</v>
      </c>
      <c r="K59" s="15">
        <v>72</v>
      </c>
      <c r="L59" s="20">
        <f t="shared" si="10"/>
        <v>0.13533834586466165</v>
      </c>
      <c r="M59" s="12">
        <v>63</v>
      </c>
      <c r="N59" s="12">
        <v>9</v>
      </c>
      <c r="P59" s="32" t="s">
        <v>500</v>
      </c>
      <c r="Q59" s="23"/>
      <c r="Y59" s="6"/>
    </row>
    <row r="60" spans="1:25" ht="16.5">
      <c r="A60" s="25">
        <v>46027</v>
      </c>
      <c r="B60" s="29">
        <v>0.62083333333333335</v>
      </c>
      <c r="C60" s="19">
        <v>46031</v>
      </c>
      <c r="D60" s="24" t="str">
        <f t="shared" si="9"/>
        <v>BBB</v>
      </c>
      <c r="E60" s="13" t="str">
        <f>VLOOKUP(D:D,工作表2!A:B,2,0)</f>
        <v>邦善</v>
      </c>
      <c r="F60" s="13" t="str">
        <f>VLOOKUP(D:D,工作表2!A:C,3,0)</f>
        <v>霧面黑</v>
      </c>
      <c r="G60" s="17">
        <v>10310327</v>
      </c>
      <c r="H60" s="17" t="s">
        <v>518</v>
      </c>
      <c r="I60" s="18" t="s">
        <v>530</v>
      </c>
      <c r="J60" s="15">
        <v>40</v>
      </c>
      <c r="K60" s="15">
        <v>1</v>
      </c>
      <c r="L60" s="20">
        <f t="shared" si="10"/>
        <v>2.5000000000000001E-2</v>
      </c>
      <c r="M60" s="12">
        <v>1</v>
      </c>
      <c r="P60" s="32" t="s">
        <v>500</v>
      </c>
      <c r="Q60" s="23"/>
      <c r="Y60" s="6"/>
    </row>
    <row r="61" spans="1:25" ht="16.5">
      <c r="A61" s="25">
        <v>46029</v>
      </c>
      <c r="B61" s="29">
        <v>0.59722222222222221</v>
      </c>
      <c r="C61" s="19">
        <v>46031</v>
      </c>
      <c r="D61" s="24" t="str">
        <f t="shared" si="9"/>
        <v>75W</v>
      </c>
      <c r="E61" s="13" t="str">
        <f>VLOOKUP(D:D,工作表2!A:B,2,0)</f>
        <v>敦陽</v>
      </c>
      <c r="F61" s="13" t="str">
        <f>VLOOKUP(D:D,工作表2!A:C,3,0)</f>
        <v>白</v>
      </c>
      <c r="G61" s="17">
        <v>10310359</v>
      </c>
      <c r="H61" s="17" t="s">
        <v>419</v>
      </c>
      <c r="I61" s="18" t="s">
        <v>422</v>
      </c>
      <c r="J61" s="15">
        <v>144</v>
      </c>
      <c r="K61" s="15">
        <v>8</v>
      </c>
      <c r="L61" s="20">
        <f t="shared" si="10"/>
        <v>5.5555555555555552E-2</v>
      </c>
      <c r="M61" s="12">
        <v>5</v>
      </c>
      <c r="N61" s="12">
        <v>3</v>
      </c>
      <c r="P61" s="32" t="s">
        <v>500</v>
      </c>
      <c r="Q61" s="23"/>
      <c r="Y61" s="6"/>
    </row>
    <row r="62" spans="1:25" ht="16.5">
      <c r="A62" s="25">
        <v>46029</v>
      </c>
      <c r="B62" s="29">
        <v>0.60138888888888886</v>
      </c>
      <c r="C62" s="19">
        <v>46031</v>
      </c>
      <c r="D62" s="24" t="str">
        <f t="shared" si="9"/>
        <v>75W</v>
      </c>
      <c r="E62" s="13" t="str">
        <f>VLOOKUP(D:D,工作表2!A:B,2,0)</f>
        <v>敦陽</v>
      </c>
      <c r="F62" s="13" t="str">
        <f>VLOOKUP(D:D,工作表2!A:C,3,0)</f>
        <v>白</v>
      </c>
      <c r="G62" s="17">
        <v>10310318</v>
      </c>
      <c r="H62" s="17" t="s">
        <v>524</v>
      </c>
      <c r="I62" s="18" t="s">
        <v>536</v>
      </c>
      <c r="J62" s="15">
        <v>80</v>
      </c>
      <c r="K62" s="15">
        <v>21</v>
      </c>
      <c r="L62" s="20">
        <f t="shared" si="10"/>
        <v>0.26250000000000001</v>
      </c>
      <c r="M62" s="12">
        <v>18</v>
      </c>
      <c r="N62" s="12">
        <v>3</v>
      </c>
      <c r="P62" s="32" t="s">
        <v>500</v>
      </c>
      <c r="Q62" s="23" t="s">
        <v>964</v>
      </c>
      <c r="Y62" s="6"/>
    </row>
    <row r="63" spans="1:25" ht="16.5">
      <c r="A63" s="25">
        <v>46024</v>
      </c>
      <c r="B63" s="29">
        <v>0.52916666666666667</v>
      </c>
      <c r="C63" s="19">
        <v>46031</v>
      </c>
      <c r="D63" s="24" t="str">
        <f t="shared" si="9"/>
        <v>NGW</v>
      </c>
      <c r="E63" s="13" t="str">
        <f>VLOOKUP(D:D,工作表2!A:B,2,0)</f>
        <v>邦善</v>
      </c>
      <c r="F63" s="13" t="str">
        <f>VLOOKUP(D:D,工作表2!A:C,3,0)</f>
        <v>白</v>
      </c>
      <c r="G63" s="17">
        <v>10304244</v>
      </c>
      <c r="H63" s="17" t="s">
        <v>522</v>
      </c>
      <c r="I63" s="18" t="s">
        <v>534</v>
      </c>
      <c r="J63" s="15">
        <v>240</v>
      </c>
      <c r="K63" s="15">
        <v>26</v>
      </c>
      <c r="L63" s="20">
        <f t="shared" si="10"/>
        <v>0.10833333333333334</v>
      </c>
      <c r="M63" s="12">
        <v>20</v>
      </c>
      <c r="N63" s="12">
        <v>6</v>
      </c>
      <c r="P63" s="32" t="s">
        <v>500</v>
      </c>
      <c r="Q63" s="23" t="s">
        <v>962</v>
      </c>
      <c r="Y63" s="6"/>
    </row>
    <row r="64" spans="1:25" ht="16.5">
      <c r="A64" s="25">
        <v>46028</v>
      </c>
      <c r="B64" s="29">
        <v>0.62916666666666665</v>
      </c>
      <c r="C64" s="19">
        <v>46031</v>
      </c>
      <c r="D64" s="24" t="str">
        <f t="shared" si="9"/>
        <v>NGW</v>
      </c>
      <c r="E64" s="13" t="str">
        <f>VLOOKUP(D:D,工作表2!A:B,2,0)</f>
        <v>邦善</v>
      </c>
      <c r="F64" s="13" t="str">
        <f>VLOOKUP(D:D,工作表2!A:C,3,0)</f>
        <v>白</v>
      </c>
      <c r="G64" s="17">
        <v>10305275</v>
      </c>
      <c r="H64" s="17" t="s">
        <v>517</v>
      </c>
      <c r="I64" s="18" t="s">
        <v>529</v>
      </c>
      <c r="J64" s="15">
        <v>360</v>
      </c>
      <c r="K64" s="15">
        <v>48</v>
      </c>
      <c r="L64" s="20">
        <f t="shared" si="10"/>
        <v>0.13333333333333333</v>
      </c>
      <c r="M64" s="12">
        <v>29</v>
      </c>
      <c r="N64" s="12">
        <v>19</v>
      </c>
      <c r="P64" s="32" t="s">
        <v>500</v>
      </c>
      <c r="Q64" s="23" t="s">
        <v>962</v>
      </c>
      <c r="Y64" s="6"/>
    </row>
    <row r="65" spans="1:25" ht="16.5">
      <c r="A65" s="25">
        <v>46028</v>
      </c>
      <c r="B65" s="29">
        <v>0.47569444444444442</v>
      </c>
      <c r="C65" s="19">
        <v>46031</v>
      </c>
      <c r="D65" s="24" t="str">
        <f t="shared" si="9"/>
        <v>Q9B</v>
      </c>
      <c r="E65" s="13" t="str">
        <f>VLOOKUP(D:D,工作表2!A:B,2,0)</f>
        <v>邦善</v>
      </c>
      <c r="F65" s="13" t="str">
        <f>VLOOKUP(D:D,工作表2!A:C,3,0)</f>
        <v>黑</v>
      </c>
      <c r="G65" s="17">
        <v>10310769</v>
      </c>
      <c r="H65" s="17" t="s">
        <v>516</v>
      </c>
      <c r="I65" s="18" t="s">
        <v>528</v>
      </c>
      <c r="J65" s="15">
        <v>480</v>
      </c>
      <c r="K65" s="15">
        <v>53</v>
      </c>
      <c r="L65" s="20">
        <f t="shared" si="10"/>
        <v>0.11041666666666666</v>
      </c>
      <c r="M65" s="12">
        <v>45</v>
      </c>
      <c r="N65" s="12">
        <v>8</v>
      </c>
      <c r="P65" s="32" t="s">
        <v>500</v>
      </c>
      <c r="Q65" s="23" t="s">
        <v>962</v>
      </c>
      <c r="Y65" s="6"/>
    </row>
    <row r="66" spans="1:25" ht="16.5">
      <c r="A66" s="25">
        <v>46028</v>
      </c>
      <c r="B66" s="29">
        <v>0.47569444444444442</v>
      </c>
      <c r="C66" s="19">
        <v>46031</v>
      </c>
      <c r="D66" s="24" t="str">
        <f t="shared" si="9"/>
        <v>Q9B</v>
      </c>
      <c r="E66" s="13" t="str">
        <f>VLOOKUP(D:D,工作表2!A:B,2,0)</f>
        <v>邦善</v>
      </c>
      <c r="F66" s="13" t="str">
        <f>VLOOKUP(D:D,工作表2!A:C,3,0)</f>
        <v>黑</v>
      </c>
      <c r="G66" s="17">
        <v>10310313</v>
      </c>
      <c r="H66" s="17" t="s">
        <v>516</v>
      </c>
      <c r="I66" s="18" t="s">
        <v>528</v>
      </c>
      <c r="J66" s="15">
        <v>480</v>
      </c>
      <c r="K66" s="15">
        <v>63</v>
      </c>
      <c r="L66" s="20">
        <f t="shared" si="10"/>
        <v>0.13125000000000001</v>
      </c>
      <c r="M66" s="12">
        <v>50</v>
      </c>
      <c r="N66" s="12">
        <v>13</v>
      </c>
      <c r="P66" s="32" t="s">
        <v>500</v>
      </c>
      <c r="Q66" s="23" t="s">
        <v>962</v>
      </c>
      <c r="Y66" s="6"/>
    </row>
    <row r="67" spans="1:25">
      <c r="A67" s="25">
        <v>46029</v>
      </c>
      <c r="B67" s="29">
        <v>0.58472222222222225</v>
      </c>
      <c r="C67" s="19">
        <v>46031</v>
      </c>
      <c r="D67" s="24" t="str">
        <f t="shared" si="9"/>
        <v>Q9B</v>
      </c>
      <c r="E67" s="13" t="str">
        <f>VLOOKUP(D:D,工作表2!A:B,2,0)</f>
        <v>邦善</v>
      </c>
      <c r="F67" s="13" t="str">
        <f>VLOOKUP(D:D,工作表2!A:C,3,0)</f>
        <v>黑</v>
      </c>
      <c r="G67" s="17">
        <v>10309191</v>
      </c>
      <c r="H67" s="17" t="s">
        <v>513</v>
      </c>
      <c r="I67" s="18" t="s">
        <v>525</v>
      </c>
      <c r="J67" s="15">
        <v>1360</v>
      </c>
      <c r="K67" s="15">
        <v>425</v>
      </c>
      <c r="L67" s="20">
        <f t="shared" si="10"/>
        <v>0.3125</v>
      </c>
      <c r="M67" s="12">
        <v>249</v>
      </c>
      <c r="N67" s="12">
        <v>138</v>
      </c>
      <c r="P67" s="32" t="s">
        <v>537</v>
      </c>
      <c r="Q67" s="23" t="s">
        <v>962</v>
      </c>
      <c r="U67" s="12">
        <v>38</v>
      </c>
      <c r="Y67" s="6"/>
    </row>
    <row r="68" spans="1:25" ht="16.5">
      <c r="A68" s="25">
        <v>46024</v>
      </c>
      <c r="B68" s="29">
        <v>0.5229166666666667</v>
      </c>
      <c r="C68" s="19">
        <v>46031</v>
      </c>
      <c r="D68" s="24" t="str">
        <f t="shared" si="9"/>
        <v>X2W</v>
      </c>
      <c r="E68" s="13" t="str">
        <f>VLOOKUP(D:D,工作表2!A:B,2,0)</f>
        <v>邦善</v>
      </c>
      <c r="F68" s="13" t="str">
        <f>VLOOKUP(D:D,工作表2!A:C,3,0)</f>
        <v>白</v>
      </c>
      <c r="G68" s="17">
        <v>10304257</v>
      </c>
      <c r="H68" s="17" t="s">
        <v>515</v>
      </c>
      <c r="I68" s="18" t="s">
        <v>527</v>
      </c>
      <c r="J68" s="15">
        <v>280</v>
      </c>
      <c r="K68" s="15">
        <v>39</v>
      </c>
      <c r="L68" s="20">
        <f t="shared" si="10"/>
        <v>0.13928571428571429</v>
      </c>
      <c r="M68" s="12">
        <v>30</v>
      </c>
      <c r="N68" s="12">
        <v>9</v>
      </c>
      <c r="P68" s="32" t="s">
        <v>500</v>
      </c>
      <c r="Q68" s="23" t="s">
        <v>963</v>
      </c>
      <c r="Y68" s="6"/>
    </row>
    <row r="69" spans="1:25" ht="16.5">
      <c r="A69" s="25">
        <v>46027</v>
      </c>
      <c r="B69" s="29">
        <v>0.61041666666666672</v>
      </c>
      <c r="C69" s="19">
        <v>46031</v>
      </c>
      <c r="D69" s="24" t="str">
        <f t="shared" si="9"/>
        <v>NGW</v>
      </c>
      <c r="E69" s="13" t="str">
        <f>VLOOKUP(D:D,工作表2!A:B,2,0)</f>
        <v>邦善</v>
      </c>
      <c r="F69" s="13" t="str">
        <f>VLOOKUP(D:D,工作表2!A:C,3,0)</f>
        <v>白</v>
      </c>
      <c r="G69" s="17">
        <v>10304233</v>
      </c>
      <c r="H69" s="17" t="s">
        <v>521</v>
      </c>
      <c r="I69" s="18" t="s">
        <v>533</v>
      </c>
      <c r="J69" s="15">
        <v>938</v>
      </c>
      <c r="K69" s="15">
        <v>176</v>
      </c>
      <c r="L69" s="20">
        <f t="shared" si="10"/>
        <v>0.18763326226012794</v>
      </c>
      <c r="M69" s="12">
        <v>96</v>
      </c>
      <c r="N69" s="12">
        <v>80</v>
      </c>
      <c r="P69" s="32" t="s">
        <v>500</v>
      </c>
      <c r="Q69" s="23" t="s">
        <v>961</v>
      </c>
      <c r="Y69" s="6"/>
    </row>
    <row r="70" spans="1:25" ht="16.5">
      <c r="A70" s="25">
        <v>46027</v>
      </c>
      <c r="B70" s="29">
        <v>0.61736111111111114</v>
      </c>
      <c r="C70" s="19">
        <v>46031</v>
      </c>
      <c r="D70" s="24" t="str">
        <f t="shared" si="9"/>
        <v>BBB</v>
      </c>
      <c r="E70" s="13" t="str">
        <f>VLOOKUP(D:D,工作表2!A:B,2,0)</f>
        <v>邦善</v>
      </c>
      <c r="F70" s="13" t="str">
        <f>VLOOKUP(D:D,工作表2!A:C,3,0)</f>
        <v>霧面黑</v>
      </c>
      <c r="G70" s="17">
        <v>10310305</v>
      </c>
      <c r="H70" s="17" t="s">
        <v>514</v>
      </c>
      <c r="I70" s="18" t="s">
        <v>526</v>
      </c>
      <c r="J70" s="15">
        <v>40</v>
      </c>
      <c r="K70" s="15">
        <v>3</v>
      </c>
      <c r="L70" s="20">
        <f t="shared" si="10"/>
        <v>7.4999999999999997E-2</v>
      </c>
      <c r="M70" s="12">
        <v>3</v>
      </c>
      <c r="P70" s="32" t="s">
        <v>500</v>
      </c>
      <c r="Q70" s="23" t="s">
        <v>961</v>
      </c>
      <c r="Y70" s="6"/>
    </row>
    <row r="71" spans="1:25" ht="16.5">
      <c r="A71" s="25">
        <v>46027</v>
      </c>
      <c r="B71" s="29">
        <v>0.62708333333333333</v>
      </c>
      <c r="C71" s="19">
        <v>46031</v>
      </c>
      <c r="D71" s="24" t="str">
        <f t="shared" si="9"/>
        <v>4BB</v>
      </c>
      <c r="E71" s="13" t="str">
        <f>VLOOKUP(D:D,工作表2!A:B,2,0)</f>
        <v>敦陽</v>
      </c>
      <c r="F71" s="13" t="str">
        <f>VLOOKUP(D:D,工作表2!A:C,3,0)</f>
        <v>黑</v>
      </c>
      <c r="G71" s="17">
        <v>10310315</v>
      </c>
      <c r="H71" s="17" t="s">
        <v>519</v>
      </c>
      <c r="I71" s="18" t="s">
        <v>531</v>
      </c>
      <c r="J71" s="15">
        <v>80</v>
      </c>
      <c r="K71" s="15">
        <v>3</v>
      </c>
      <c r="L71" s="20">
        <f t="shared" si="10"/>
        <v>3.7499999999999999E-2</v>
      </c>
      <c r="M71" s="12">
        <v>3</v>
      </c>
      <c r="P71" s="32" t="s">
        <v>500</v>
      </c>
      <c r="Q71" s="23"/>
      <c r="Y71" s="6"/>
    </row>
    <row r="72" spans="1:25" ht="16.5">
      <c r="A72" s="25">
        <v>46029</v>
      </c>
      <c r="B72" s="29">
        <v>0.54305555555555551</v>
      </c>
      <c r="C72" s="11">
        <v>46034</v>
      </c>
      <c r="D72" s="24" t="str">
        <f t="shared" ref="D72:D89" si="11">RIGHT(I72,3)</f>
        <v>NBB</v>
      </c>
      <c r="E72" s="13" t="str">
        <f>VLOOKUP(D:D,工作表2!A:B,2,0)</f>
        <v>邦善</v>
      </c>
      <c r="F72" s="13" t="str">
        <f>VLOOKUP(D:D,工作表2!A:C,3,0)</f>
        <v>霧面黑</v>
      </c>
      <c r="G72" s="17">
        <v>10305436</v>
      </c>
      <c r="H72" s="17" t="s">
        <v>369</v>
      </c>
      <c r="I72" s="18" t="s">
        <v>371</v>
      </c>
      <c r="J72" s="15">
        <v>2128</v>
      </c>
      <c r="K72" s="15">
        <v>133</v>
      </c>
      <c r="L72" s="20">
        <f t="shared" ref="L72:L89" si="12">K72/J72</f>
        <v>6.25E-2</v>
      </c>
      <c r="M72" s="12">
        <v>110</v>
      </c>
      <c r="N72" s="12">
        <v>23</v>
      </c>
      <c r="P72" s="32" t="s">
        <v>500</v>
      </c>
      <c r="Q72" s="23"/>
      <c r="Y72" s="6"/>
    </row>
    <row r="73" spans="1:25" ht="16.5">
      <c r="A73" s="25">
        <v>46028</v>
      </c>
      <c r="B73" s="29">
        <v>0.53541666666666665</v>
      </c>
      <c r="C73" s="19">
        <v>46034</v>
      </c>
      <c r="D73" s="24" t="str">
        <f t="shared" si="11"/>
        <v>NCB</v>
      </c>
      <c r="E73" s="13" t="str">
        <f>VLOOKUP(D:D,工作表2!A:B,2,0)</f>
        <v>邦善</v>
      </c>
      <c r="F73" s="13" t="str">
        <f>VLOOKUP(D:D,工作表2!A:C,3,0)</f>
        <v>黑</v>
      </c>
      <c r="G73" s="17">
        <v>10305440</v>
      </c>
      <c r="H73" s="17" t="s">
        <v>368</v>
      </c>
      <c r="I73" s="18" t="s">
        <v>370</v>
      </c>
      <c r="J73" s="15">
        <v>2926</v>
      </c>
      <c r="K73" s="15">
        <v>226</v>
      </c>
      <c r="L73" s="20">
        <f t="shared" si="12"/>
        <v>7.7238550922761454E-2</v>
      </c>
      <c r="M73" s="12">
        <v>180</v>
      </c>
      <c r="N73" s="12">
        <v>46</v>
      </c>
      <c r="P73" s="32" t="s">
        <v>500</v>
      </c>
      <c r="Q73" s="23"/>
      <c r="Y73" s="6"/>
    </row>
    <row r="74" spans="1:25" ht="16.5">
      <c r="A74" s="25">
        <v>46030</v>
      </c>
      <c r="B74" s="29">
        <v>0.5493055555555556</v>
      </c>
      <c r="C74" s="19">
        <v>46034</v>
      </c>
      <c r="D74" s="24" t="str">
        <f t="shared" si="11"/>
        <v>RRA</v>
      </c>
      <c r="E74" s="13" t="str">
        <f>VLOOKUP(D:D,工作表2!A:B,2,0)</f>
        <v>邦善</v>
      </c>
      <c r="F74" s="13" t="str">
        <f>VLOOKUP(D:D,工作表2!A:C,3,0)</f>
        <v>灰</v>
      </c>
      <c r="G74" s="17">
        <v>10305437</v>
      </c>
      <c r="H74" s="17" t="s">
        <v>544</v>
      </c>
      <c r="I74" s="18" t="s">
        <v>555</v>
      </c>
      <c r="J74" s="15">
        <v>2128</v>
      </c>
      <c r="K74" s="15">
        <v>165</v>
      </c>
      <c r="L74" s="20">
        <f t="shared" si="12"/>
        <v>7.7537593984962405E-2</v>
      </c>
      <c r="M74" s="12">
        <v>150</v>
      </c>
      <c r="N74" s="12">
        <v>15</v>
      </c>
      <c r="P74" s="32" t="s">
        <v>500</v>
      </c>
      <c r="Q74" s="23"/>
      <c r="Y74" s="6"/>
    </row>
    <row r="75" spans="1:25" ht="16.5">
      <c r="A75" s="25">
        <v>46029</v>
      </c>
      <c r="B75" s="29">
        <v>0.67083333333333339</v>
      </c>
      <c r="C75" s="19">
        <v>46034</v>
      </c>
      <c r="D75" s="24" t="str">
        <f t="shared" si="11"/>
        <v>UUS</v>
      </c>
      <c r="E75" s="13" t="str">
        <f>VLOOKUP(D:D,工作表2!A:B,2,0)</f>
        <v>邦善</v>
      </c>
      <c r="F75" s="13" t="str">
        <f>VLOOKUP(D:D,工作表2!A:C,3,0)</f>
        <v>銀</v>
      </c>
      <c r="G75" s="17">
        <v>10305441</v>
      </c>
      <c r="H75" s="17" t="s">
        <v>418</v>
      </c>
      <c r="I75" s="18" t="s">
        <v>421</v>
      </c>
      <c r="J75" s="15">
        <v>798</v>
      </c>
      <c r="K75" s="15">
        <v>45</v>
      </c>
      <c r="L75" s="20">
        <f t="shared" si="12"/>
        <v>5.6390977443609019E-2</v>
      </c>
      <c r="M75" s="12">
        <v>25</v>
      </c>
      <c r="N75" s="12">
        <v>20</v>
      </c>
      <c r="P75" s="32" t="s">
        <v>500</v>
      </c>
      <c r="Q75" s="23"/>
      <c r="Y75" s="6"/>
    </row>
    <row r="76" spans="1:25" ht="16.5">
      <c r="A76" s="25">
        <v>46031</v>
      </c>
      <c r="B76" s="29">
        <v>0.38263888888888892</v>
      </c>
      <c r="C76" s="19">
        <v>46034</v>
      </c>
      <c r="D76" s="24" t="str">
        <f t="shared" si="11"/>
        <v>QRB</v>
      </c>
      <c r="E76" s="13" t="str">
        <f>VLOOKUP(D:D,工作表2!A:B,2,0)</f>
        <v>邦善</v>
      </c>
      <c r="F76" s="13" t="str">
        <f>VLOOKUP(D:D,工作表2!A:C,3,0)</f>
        <v>霧面黑</v>
      </c>
      <c r="G76" s="17">
        <v>10309232</v>
      </c>
      <c r="H76" s="17" t="s">
        <v>170</v>
      </c>
      <c r="I76" s="18" t="s">
        <v>171</v>
      </c>
      <c r="J76" s="15">
        <v>25802</v>
      </c>
      <c r="K76" s="15">
        <v>1363</v>
      </c>
      <c r="L76" s="20">
        <f t="shared" si="12"/>
        <v>5.2825362375009691E-2</v>
      </c>
      <c r="M76" s="12">
        <v>879</v>
      </c>
      <c r="N76" s="12">
        <v>452</v>
      </c>
      <c r="O76" s="15">
        <v>32</v>
      </c>
      <c r="P76" s="32" t="s">
        <v>500</v>
      </c>
      <c r="Q76" s="23"/>
      <c r="Y76" s="6"/>
    </row>
    <row r="77" spans="1:25" ht="16.5">
      <c r="A77" s="25">
        <v>46030</v>
      </c>
      <c r="B77" s="29">
        <v>0.52361111111111114</v>
      </c>
      <c r="C77" s="19">
        <v>46034</v>
      </c>
      <c r="D77" s="24" t="str">
        <f t="shared" si="11"/>
        <v>VKB</v>
      </c>
      <c r="E77" s="13" t="str">
        <f>VLOOKUP(D:D,工作表2!A:B,2,0)</f>
        <v>華山</v>
      </c>
      <c r="F77" s="13" t="str">
        <f>VLOOKUP(D:D,工作表2!A:C,3,0)</f>
        <v>霧面黑</v>
      </c>
      <c r="G77" s="17">
        <v>10309190</v>
      </c>
      <c r="H77" s="17" t="s">
        <v>542</v>
      </c>
      <c r="I77" s="18" t="s">
        <v>553</v>
      </c>
      <c r="J77" s="15">
        <v>2100</v>
      </c>
      <c r="K77" s="15">
        <v>71</v>
      </c>
      <c r="L77" s="20">
        <f t="shared" si="12"/>
        <v>3.380952380952381E-2</v>
      </c>
      <c r="M77" s="12">
        <v>50</v>
      </c>
      <c r="N77" s="12">
        <v>21</v>
      </c>
      <c r="P77" s="32" t="s">
        <v>500</v>
      </c>
      <c r="Q77" s="23"/>
      <c r="Y77" s="6"/>
    </row>
    <row r="78" spans="1:25" ht="16.5">
      <c r="A78" s="25">
        <v>46024</v>
      </c>
      <c r="B78" s="29">
        <v>0.62916666666666665</v>
      </c>
      <c r="C78" s="19">
        <v>46034</v>
      </c>
      <c r="D78" s="24" t="str">
        <f t="shared" si="11"/>
        <v>76S</v>
      </c>
      <c r="E78" s="13" t="str">
        <f>VLOOKUP(D:D,工作表2!A:B,2,0)</f>
        <v>敦陽</v>
      </c>
      <c r="F78" s="13" t="str">
        <f>VLOOKUP(D:D,工作表2!A:C,3,0)</f>
        <v>銀</v>
      </c>
      <c r="G78" s="17">
        <v>10310316</v>
      </c>
      <c r="H78" s="17" t="s">
        <v>548</v>
      </c>
      <c r="I78" s="18" t="s">
        <v>559</v>
      </c>
      <c r="J78" s="15">
        <v>160</v>
      </c>
      <c r="K78" s="15">
        <v>6</v>
      </c>
      <c r="L78" s="20">
        <f t="shared" si="12"/>
        <v>3.7499999999999999E-2</v>
      </c>
      <c r="M78" s="12">
        <v>3</v>
      </c>
      <c r="N78" s="12">
        <v>3</v>
      </c>
      <c r="P78" s="32" t="s">
        <v>500</v>
      </c>
      <c r="Q78" s="23"/>
      <c r="Y78" s="6"/>
    </row>
    <row r="79" spans="1:25" ht="16.5">
      <c r="A79" s="25">
        <v>46029</v>
      </c>
      <c r="B79" s="29">
        <v>0.60486111111111118</v>
      </c>
      <c r="C79" s="19">
        <v>46034</v>
      </c>
      <c r="D79" s="24" t="str">
        <f t="shared" si="11"/>
        <v>78A</v>
      </c>
      <c r="E79" s="13" t="str">
        <f>VLOOKUP(D:D,工作表2!A:B,2,0)</f>
        <v>敦陽</v>
      </c>
      <c r="F79" s="13" t="str">
        <f>VLOOKUP(D:D,工作表2!A:C,3,0)</f>
        <v>灰</v>
      </c>
      <c r="G79" s="17">
        <v>10310302</v>
      </c>
      <c r="H79" s="17" t="s">
        <v>541</v>
      </c>
      <c r="I79" s="18" t="s">
        <v>552</v>
      </c>
      <c r="J79" s="15">
        <v>40</v>
      </c>
      <c r="K79" s="15">
        <v>6</v>
      </c>
      <c r="L79" s="20">
        <f t="shared" si="12"/>
        <v>0.15</v>
      </c>
      <c r="M79" s="12">
        <v>4</v>
      </c>
      <c r="N79" s="12">
        <v>2</v>
      </c>
      <c r="P79" s="32" t="s">
        <v>500</v>
      </c>
      <c r="Q79" s="23"/>
      <c r="Y79" s="6"/>
    </row>
    <row r="80" spans="1:25" ht="16.5">
      <c r="A80" s="25">
        <v>46030</v>
      </c>
      <c r="B80" s="29">
        <v>0.60902777777777783</v>
      </c>
      <c r="C80" s="19">
        <v>46034</v>
      </c>
      <c r="D80" s="24" t="str">
        <f t="shared" si="11"/>
        <v>84B</v>
      </c>
      <c r="E80" s="13" t="str">
        <f>VLOOKUP(D:D,工作表2!A:B,2,0)</f>
        <v>敦陽</v>
      </c>
      <c r="F80" s="13" t="str">
        <f>VLOOKUP(D:D,工作表2!A:C,3,0)</f>
        <v>黑</v>
      </c>
      <c r="G80" s="17">
        <v>10310303</v>
      </c>
      <c r="H80" s="17" t="s">
        <v>538</v>
      </c>
      <c r="I80" s="18" t="s">
        <v>549</v>
      </c>
      <c r="J80" s="15">
        <v>120</v>
      </c>
      <c r="K80" s="15">
        <v>0</v>
      </c>
      <c r="L80" s="20">
        <f t="shared" si="12"/>
        <v>0</v>
      </c>
      <c r="P80" s="32" t="s">
        <v>500</v>
      </c>
      <c r="Q80" s="23"/>
      <c r="Y80" s="6"/>
    </row>
    <row r="81" spans="1:25" ht="16.5">
      <c r="A81" s="25">
        <v>46027</v>
      </c>
      <c r="B81" s="29">
        <v>0.55347222222222225</v>
      </c>
      <c r="C81" s="19">
        <v>46034</v>
      </c>
      <c r="D81" s="24" t="str">
        <f t="shared" si="11"/>
        <v>N8B</v>
      </c>
      <c r="E81" s="13" t="str">
        <f>VLOOKUP(D:D,工作表2!A:B,2,0)</f>
        <v>邦善</v>
      </c>
      <c r="F81" s="13" t="str">
        <f>VLOOKUP(D:D,工作表2!A:C,3,0)</f>
        <v>霧面黑</v>
      </c>
      <c r="G81" s="17">
        <v>10305433</v>
      </c>
      <c r="H81" s="17" t="s">
        <v>5</v>
      </c>
      <c r="I81" s="18" t="s">
        <v>6</v>
      </c>
      <c r="J81" s="15">
        <v>3990</v>
      </c>
      <c r="K81" s="15">
        <v>46</v>
      </c>
      <c r="L81" s="20">
        <f t="shared" si="12"/>
        <v>1.1528822055137845E-2</v>
      </c>
      <c r="M81" s="12">
        <v>41</v>
      </c>
      <c r="N81" s="12">
        <v>5</v>
      </c>
      <c r="P81" s="32" t="s">
        <v>500</v>
      </c>
      <c r="Q81" s="23"/>
      <c r="Y81" s="6"/>
    </row>
    <row r="82" spans="1:25" ht="16.5">
      <c r="A82" s="25">
        <v>46029</v>
      </c>
      <c r="B82" s="29">
        <v>0.56319444444444444</v>
      </c>
      <c r="C82" s="19">
        <v>46034</v>
      </c>
      <c r="D82" s="24" t="str">
        <f t="shared" si="11"/>
        <v>NBB</v>
      </c>
      <c r="E82" s="13" t="str">
        <f>VLOOKUP(D:D,工作表2!A:B,2,0)</f>
        <v>邦善</v>
      </c>
      <c r="F82" s="13" t="str">
        <f>VLOOKUP(D:D,工作表2!A:C,3,0)</f>
        <v>霧面黑</v>
      </c>
      <c r="G82" s="17">
        <v>10305429</v>
      </c>
      <c r="H82" s="17" t="s">
        <v>306</v>
      </c>
      <c r="I82" s="18" t="s">
        <v>307</v>
      </c>
      <c r="J82" s="15">
        <v>2128</v>
      </c>
      <c r="K82" s="15">
        <v>50</v>
      </c>
      <c r="L82" s="20">
        <f t="shared" si="12"/>
        <v>2.3496240601503758E-2</v>
      </c>
      <c r="M82" s="12">
        <v>40</v>
      </c>
      <c r="N82" s="12">
        <v>10</v>
      </c>
      <c r="P82" s="32" t="s">
        <v>500</v>
      </c>
      <c r="Q82" s="23"/>
      <c r="Y82" s="6"/>
    </row>
    <row r="83" spans="1:25" ht="16.5">
      <c r="A83" s="25">
        <v>46028</v>
      </c>
      <c r="B83" s="29">
        <v>0.56666666666666665</v>
      </c>
      <c r="C83" s="19">
        <v>46034</v>
      </c>
      <c r="D83" s="24" t="str">
        <f t="shared" si="11"/>
        <v>NGW</v>
      </c>
      <c r="E83" s="13" t="str">
        <f>VLOOKUP(D:D,工作表2!A:B,2,0)</f>
        <v>邦善</v>
      </c>
      <c r="F83" s="13" t="str">
        <f>VLOOKUP(D:D,工作表2!A:C,3,0)</f>
        <v>白</v>
      </c>
      <c r="G83" s="17">
        <v>10305438</v>
      </c>
      <c r="H83" s="17" t="s">
        <v>543</v>
      </c>
      <c r="I83" s="18" t="s">
        <v>554</v>
      </c>
      <c r="J83" s="15">
        <v>1330</v>
      </c>
      <c r="K83" s="15">
        <v>58</v>
      </c>
      <c r="L83" s="20">
        <f t="shared" si="12"/>
        <v>4.3609022556390979E-2</v>
      </c>
      <c r="M83" s="12">
        <v>40</v>
      </c>
      <c r="N83" s="12">
        <v>18</v>
      </c>
      <c r="P83" s="32" t="s">
        <v>500</v>
      </c>
      <c r="Q83" s="23"/>
      <c r="Y83" s="6"/>
    </row>
    <row r="84" spans="1:25" ht="16.5">
      <c r="A84" s="25">
        <v>46029</v>
      </c>
      <c r="B84" s="29">
        <v>0.67361111111111116</v>
      </c>
      <c r="C84" s="19">
        <v>46034</v>
      </c>
      <c r="D84" s="24" t="str">
        <f t="shared" si="11"/>
        <v>UUS</v>
      </c>
      <c r="E84" s="13" t="str">
        <f>VLOOKUP(D:D,工作表2!A:B,2,0)</f>
        <v>邦善</v>
      </c>
      <c r="F84" s="13" t="str">
        <f>VLOOKUP(D:D,工作表2!A:C,3,0)</f>
        <v>銀</v>
      </c>
      <c r="G84" s="17">
        <v>10305442</v>
      </c>
      <c r="H84" s="17" t="s">
        <v>540</v>
      </c>
      <c r="I84" s="18" t="s">
        <v>551</v>
      </c>
      <c r="J84" s="15">
        <v>532</v>
      </c>
      <c r="K84" s="15">
        <v>47</v>
      </c>
      <c r="L84" s="20">
        <f t="shared" si="12"/>
        <v>8.834586466165413E-2</v>
      </c>
      <c r="M84" s="12">
        <v>40</v>
      </c>
      <c r="N84" s="12">
        <v>7</v>
      </c>
      <c r="P84" s="32" t="s">
        <v>500</v>
      </c>
      <c r="Q84" s="23"/>
      <c r="Y84" s="6"/>
    </row>
    <row r="85" spans="1:25" ht="16.5">
      <c r="A85" s="25">
        <v>46029</v>
      </c>
      <c r="B85" s="29">
        <v>0.59930555555555554</v>
      </c>
      <c r="C85" s="19">
        <v>46034</v>
      </c>
      <c r="D85" s="24" t="str">
        <f t="shared" si="11"/>
        <v>76S</v>
      </c>
      <c r="E85" s="13" t="str">
        <f>VLOOKUP(D:D,工作表2!A:B,2,0)</f>
        <v>敦陽</v>
      </c>
      <c r="F85" s="13" t="str">
        <f>VLOOKUP(D:D,工作表2!A:C,3,0)</f>
        <v>銀</v>
      </c>
      <c r="G85" s="17">
        <v>10310298</v>
      </c>
      <c r="H85" s="17" t="s">
        <v>539</v>
      </c>
      <c r="I85" s="18" t="s">
        <v>550</v>
      </c>
      <c r="J85" s="15">
        <v>72</v>
      </c>
      <c r="K85" s="15">
        <v>8</v>
      </c>
      <c r="L85" s="20">
        <f t="shared" si="12"/>
        <v>0.1111111111111111</v>
      </c>
      <c r="M85" s="12">
        <v>5</v>
      </c>
      <c r="N85" s="12">
        <v>3</v>
      </c>
      <c r="P85" s="32" t="s">
        <v>500</v>
      </c>
      <c r="Q85" s="23"/>
      <c r="Y85" s="6"/>
    </row>
    <row r="86" spans="1:25" ht="16.5">
      <c r="A86" s="25">
        <v>46029</v>
      </c>
      <c r="B86" s="29">
        <v>0.6020833333333333</v>
      </c>
      <c r="C86" s="19">
        <v>46034</v>
      </c>
      <c r="D86" s="24" t="str">
        <f t="shared" si="11"/>
        <v>76S</v>
      </c>
      <c r="E86" s="13" t="str">
        <f>VLOOKUP(D:D,工作表2!A:B,2,0)</f>
        <v>敦陽</v>
      </c>
      <c r="F86" s="13" t="str">
        <f>VLOOKUP(D:D,工作表2!A:C,3,0)</f>
        <v>銀</v>
      </c>
      <c r="G86" s="17">
        <v>10310309</v>
      </c>
      <c r="H86" s="17" t="s">
        <v>547</v>
      </c>
      <c r="I86" s="18" t="s">
        <v>558</v>
      </c>
      <c r="J86" s="15">
        <v>160</v>
      </c>
      <c r="K86" s="15">
        <v>21</v>
      </c>
      <c r="L86" s="20">
        <f t="shared" si="12"/>
        <v>0.13125000000000001</v>
      </c>
      <c r="M86" s="12">
        <v>16</v>
      </c>
      <c r="N86" s="12">
        <v>5</v>
      </c>
      <c r="P86" s="32" t="s">
        <v>500</v>
      </c>
      <c r="Q86" s="23" t="s">
        <v>961</v>
      </c>
      <c r="Y86" s="6"/>
    </row>
    <row r="87" spans="1:25" ht="16.5">
      <c r="A87" s="25">
        <v>46029</v>
      </c>
      <c r="B87" s="29">
        <v>0.60347222222222219</v>
      </c>
      <c r="C87" s="19">
        <v>46034</v>
      </c>
      <c r="D87" s="24" t="str">
        <f t="shared" si="11"/>
        <v>78A</v>
      </c>
      <c r="E87" s="13" t="str">
        <f>VLOOKUP(D:D,工作表2!A:B,2,0)</f>
        <v>敦陽</v>
      </c>
      <c r="F87" s="13" t="str">
        <f>VLOOKUP(D:D,工作表2!A:C,3,0)</f>
        <v>灰</v>
      </c>
      <c r="G87" s="17">
        <v>10310310</v>
      </c>
      <c r="H87" s="17" t="s">
        <v>545</v>
      </c>
      <c r="I87" s="18" t="s">
        <v>556</v>
      </c>
      <c r="J87" s="15">
        <v>50</v>
      </c>
      <c r="K87" s="15">
        <v>9</v>
      </c>
      <c r="L87" s="20">
        <f t="shared" si="12"/>
        <v>0.18</v>
      </c>
      <c r="M87" s="12">
        <v>6</v>
      </c>
      <c r="N87" s="12">
        <v>3</v>
      </c>
      <c r="P87" s="32" t="s">
        <v>500</v>
      </c>
      <c r="Q87" s="23" t="s">
        <v>961</v>
      </c>
      <c r="Y87" s="6"/>
    </row>
    <row r="88" spans="1:25" ht="16.5">
      <c r="A88" s="25">
        <v>46030</v>
      </c>
      <c r="B88" s="29">
        <v>0.60972222222222217</v>
      </c>
      <c r="C88" s="19">
        <v>46034</v>
      </c>
      <c r="D88" s="24" t="str">
        <f t="shared" si="11"/>
        <v>84B</v>
      </c>
      <c r="E88" s="13" t="str">
        <f>VLOOKUP(D:D,工作表2!A:B,2,0)</f>
        <v>敦陽</v>
      </c>
      <c r="F88" s="13" t="str">
        <f>VLOOKUP(D:D,工作表2!A:C,3,0)</f>
        <v>黑</v>
      </c>
      <c r="G88" s="17">
        <v>10310311</v>
      </c>
      <c r="H88" s="17" t="s">
        <v>546</v>
      </c>
      <c r="I88" s="18" t="s">
        <v>557</v>
      </c>
      <c r="J88" s="15">
        <v>50</v>
      </c>
      <c r="K88" s="15">
        <v>7</v>
      </c>
      <c r="L88" s="20">
        <f t="shared" si="12"/>
        <v>0.14000000000000001</v>
      </c>
      <c r="M88" s="12">
        <v>4</v>
      </c>
      <c r="N88" s="12">
        <v>3</v>
      </c>
      <c r="P88" s="32" t="s">
        <v>500</v>
      </c>
      <c r="Q88" s="23" t="s">
        <v>961</v>
      </c>
      <c r="Y88" s="6"/>
    </row>
    <row r="89" spans="1:25" ht="16.5">
      <c r="A89" s="25">
        <v>46030</v>
      </c>
      <c r="B89" s="29">
        <v>0.62013888888888891</v>
      </c>
      <c r="C89" s="19">
        <v>46034</v>
      </c>
      <c r="D89" s="24" t="str">
        <f t="shared" si="11"/>
        <v>NGW</v>
      </c>
      <c r="E89" s="13" t="str">
        <f>VLOOKUP(D:D,工作表2!A:B,2,0)</f>
        <v>邦善</v>
      </c>
      <c r="F89" s="13" t="str">
        <f>VLOOKUP(D:D,工作表2!A:C,3,0)</f>
        <v>白</v>
      </c>
      <c r="G89" s="17">
        <v>10305277</v>
      </c>
      <c r="H89" s="17" t="s">
        <v>386</v>
      </c>
      <c r="I89" s="18" t="s">
        <v>391</v>
      </c>
      <c r="J89" s="15">
        <v>560</v>
      </c>
      <c r="K89" s="15">
        <v>50</v>
      </c>
      <c r="L89" s="20">
        <f t="shared" si="12"/>
        <v>8.9285714285714288E-2</v>
      </c>
      <c r="M89" s="12">
        <v>43</v>
      </c>
      <c r="N89" s="12">
        <v>7</v>
      </c>
      <c r="P89" s="32" t="s">
        <v>500</v>
      </c>
      <c r="Q89" s="23"/>
      <c r="Y89" s="6"/>
    </row>
    <row r="90" spans="1:25" ht="16.5">
      <c r="A90" s="25">
        <v>46034</v>
      </c>
      <c r="B90" s="29">
        <v>0.38541666666666669</v>
      </c>
      <c r="C90" s="19">
        <v>46035</v>
      </c>
      <c r="D90" s="24" t="str">
        <f t="shared" ref="D90:D98" si="13">RIGHT(I90,3)</f>
        <v>QRB</v>
      </c>
      <c r="E90" s="13" t="str">
        <f>VLOOKUP(D:D,工作表2!A:B,2,0)</f>
        <v>邦善</v>
      </c>
      <c r="F90" s="13" t="str">
        <f>VLOOKUP(D:D,工作表2!A:C,3,0)</f>
        <v>霧面黑</v>
      </c>
      <c r="G90" s="17">
        <v>10309292</v>
      </c>
      <c r="H90" s="17" t="s">
        <v>170</v>
      </c>
      <c r="I90" s="18" t="s">
        <v>171</v>
      </c>
      <c r="J90" s="15">
        <v>20790</v>
      </c>
      <c r="K90" s="15">
        <v>1590</v>
      </c>
      <c r="L90" s="20">
        <f t="shared" ref="L90:L98" si="14">K90/J90</f>
        <v>7.647907647907648E-2</v>
      </c>
      <c r="M90" s="12">
        <v>1220</v>
      </c>
      <c r="N90" s="12">
        <v>338</v>
      </c>
      <c r="O90" s="15">
        <v>32</v>
      </c>
      <c r="P90" s="32" t="s">
        <v>500</v>
      </c>
      <c r="Q90" s="23"/>
      <c r="Y90" s="6"/>
    </row>
    <row r="91" spans="1:25" ht="16.5">
      <c r="A91" s="25">
        <v>46030</v>
      </c>
      <c r="B91" s="29">
        <v>0.53680555555555554</v>
      </c>
      <c r="C91" s="19">
        <v>46035</v>
      </c>
      <c r="D91" s="24" t="str">
        <f t="shared" si="13"/>
        <v>VKB</v>
      </c>
      <c r="E91" s="13" t="str">
        <f>VLOOKUP(D:D,工作表2!A:B,2,0)</f>
        <v>華山</v>
      </c>
      <c r="F91" s="13" t="str">
        <f>VLOOKUP(D:D,工作表2!A:C,3,0)</f>
        <v>霧面黑</v>
      </c>
      <c r="G91" s="17">
        <v>10309224</v>
      </c>
      <c r="H91" s="17" t="s">
        <v>567</v>
      </c>
      <c r="I91" s="18" t="s">
        <v>575</v>
      </c>
      <c r="J91" s="15">
        <v>1680</v>
      </c>
      <c r="K91" s="15">
        <v>38</v>
      </c>
      <c r="L91" s="20">
        <f t="shared" si="14"/>
        <v>2.2619047619047618E-2</v>
      </c>
      <c r="M91" s="12">
        <v>35</v>
      </c>
      <c r="N91" s="12">
        <v>3</v>
      </c>
      <c r="P91" s="32" t="s">
        <v>500</v>
      </c>
      <c r="Q91" s="23"/>
      <c r="Y91" s="6"/>
    </row>
    <row r="92" spans="1:25" ht="16.5">
      <c r="A92" s="25">
        <v>46034</v>
      </c>
      <c r="B92" s="29">
        <v>0.53194444444444444</v>
      </c>
      <c r="C92" s="19">
        <v>46035</v>
      </c>
      <c r="D92" s="24" t="str">
        <f t="shared" si="13"/>
        <v>XCB</v>
      </c>
      <c r="E92" s="13" t="str">
        <f>VLOOKUP(D:D,工作表2!A:B,2,0)</f>
        <v>邦善</v>
      </c>
      <c r="F92" s="13" t="str">
        <f>VLOOKUP(D:D,工作表2!A:C,3,0)</f>
        <v>黑</v>
      </c>
      <c r="G92" s="17">
        <v>10309204</v>
      </c>
      <c r="H92" s="17" t="s">
        <v>560</v>
      </c>
      <c r="I92" s="18" t="s">
        <v>568</v>
      </c>
      <c r="J92" s="15">
        <v>910</v>
      </c>
      <c r="K92" s="15">
        <v>125</v>
      </c>
      <c r="L92" s="20">
        <f t="shared" si="14"/>
        <v>0.13736263736263737</v>
      </c>
      <c r="M92" s="12">
        <v>102</v>
      </c>
      <c r="N92" s="12">
        <v>23</v>
      </c>
      <c r="P92" s="32" t="s">
        <v>500</v>
      </c>
      <c r="Q92" s="23"/>
      <c r="Y92" s="6"/>
    </row>
    <row r="93" spans="1:25" ht="16.5">
      <c r="A93" s="25">
        <v>46030</v>
      </c>
      <c r="B93" s="29">
        <v>0.60416666666666663</v>
      </c>
      <c r="C93" s="19">
        <v>46035</v>
      </c>
      <c r="D93" s="24" t="str">
        <f t="shared" si="13"/>
        <v>87L</v>
      </c>
      <c r="E93" s="13" t="str">
        <f>VLOOKUP(D:D,工作表2!A:B,2,0)</f>
        <v>邦善</v>
      </c>
      <c r="F93" s="13" t="str">
        <f>VLOOKUP(D:D,工作表2!A:C,3,0)</f>
        <v>藍</v>
      </c>
      <c r="G93" s="17">
        <v>10310320</v>
      </c>
      <c r="H93" s="17" t="s">
        <v>565</v>
      </c>
      <c r="I93" s="18" t="s">
        <v>573</v>
      </c>
      <c r="J93" s="15">
        <v>40</v>
      </c>
      <c r="K93" s="15">
        <v>3</v>
      </c>
      <c r="L93" s="20">
        <f t="shared" si="14"/>
        <v>7.4999999999999997E-2</v>
      </c>
      <c r="M93" s="12">
        <v>2</v>
      </c>
      <c r="N93" s="12">
        <v>1</v>
      </c>
      <c r="P93" s="32" t="s">
        <v>500</v>
      </c>
      <c r="Q93" s="23"/>
      <c r="Y93" s="6"/>
    </row>
    <row r="94" spans="1:25" ht="16.5">
      <c r="A94" s="25">
        <v>46034</v>
      </c>
      <c r="B94" s="29">
        <v>0.59375</v>
      </c>
      <c r="C94" s="19">
        <v>46035</v>
      </c>
      <c r="D94" s="24" t="str">
        <f t="shared" si="13"/>
        <v>WQO</v>
      </c>
      <c r="E94" s="13" t="str">
        <f>VLOOKUP(D:D,工作表2!A:B,2,0)</f>
        <v>邦善</v>
      </c>
      <c r="F94" s="13" t="str">
        <f>VLOOKUP(D:D,工作表2!A:C,3,0)</f>
        <v>橘</v>
      </c>
      <c r="G94" s="17">
        <v>10310312</v>
      </c>
      <c r="H94" s="17" t="s">
        <v>562</v>
      </c>
      <c r="I94" s="18" t="s">
        <v>570</v>
      </c>
      <c r="J94" s="15">
        <v>30</v>
      </c>
      <c r="K94" s="15">
        <v>13</v>
      </c>
      <c r="L94" s="20">
        <f t="shared" si="14"/>
        <v>0.43333333333333335</v>
      </c>
      <c r="M94" s="12">
        <v>10</v>
      </c>
      <c r="N94" s="12">
        <v>3</v>
      </c>
      <c r="P94" s="32" t="s">
        <v>500</v>
      </c>
      <c r="Q94" s="23" t="s">
        <v>961</v>
      </c>
      <c r="Y94" s="6"/>
    </row>
    <row r="95" spans="1:25" ht="16.5">
      <c r="A95" s="25">
        <v>46029</v>
      </c>
      <c r="B95" s="29">
        <v>0.61944444444444446</v>
      </c>
      <c r="C95" s="19">
        <v>46035</v>
      </c>
      <c r="D95" s="24" t="str">
        <f t="shared" si="13"/>
        <v>NGW</v>
      </c>
      <c r="E95" s="13" t="str">
        <f>VLOOKUP(D:D,工作表2!A:B,2,0)</f>
        <v>邦善</v>
      </c>
      <c r="F95" s="13" t="str">
        <f>VLOOKUP(D:D,工作表2!A:C,3,0)</f>
        <v>白</v>
      </c>
      <c r="G95" s="17">
        <v>10305419</v>
      </c>
      <c r="H95" s="17" t="s">
        <v>566</v>
      </c>
      <c r="I95" s="18" t="s">
        <v>574</v>
      </c>
      <c r="J95" s="15">
        <v>400</v>
      </c>
      <c r="K95" s="15">
        <v>26</v>
      </c>
      <c r="L95" s="20">
        <f t="shared" si="14"/>
        <v>6.5000000000000002E-2</v>
      </c>
      <c r="M95" s="12">
        <v>20</v>
      </c>
      <c r="N95" s="12">
        <v>6</v>
      </c>
      <c r="P95" s="32" t="s">
        <v>500</v>
      </c>
      <c r="Q95" s="23" t="s">
        <v>963</v>
      </c>
      <c r="Y95" s="6"/>
    </row>
    <row r="96" spans="1:25" ht="16.5">
      <c r="A96" s="25">
        <v>46030</v>
      </c>
      <c r="B96" s="29">
        <v>0.55972222222222223</v>
      </c>
      <c r="C96" s="19">
        <v>46035</v>
      </c>
      <c r="D96" s="24" t="str">
        <f t="shared" si="13"/>
        <v>NEA</v>
      </c>
      <c r="E96" s="13" t="str">
        <f>VLOOKUP(D:D,工作表2!A:B,2,0)</f>
        <v>邦善</v>
      </c>
      <c r="F96" s="13" t="str">
        <f>VLOOKUP(D:D,工作表2!A:C,3,0)</f>
        <v>灰</v>
      </c>
      <c r="G96" s="17">
        <v>10305417</v>
      </c>
      <c r="H96" s="17" t="s">
        <v>563</v>
      </c>
      <c r="I96" s="18" t="s">
        <v>571</v>
      </c>
      <c r="J96" s="15">
        <v>560</v>
      </c>
      <c r="K96" s="15">
        <v>50</v>
      </c>
      <c r="L96" s="20">
        <f t="shared" si="14"/>
        <v>8.9285714285714288E-2</v>
      </c>
      <c r="M96" s="12">
        <v>40</v>
      </c>
      <c r="N96" s="12">
        <v>10</v>
      </c>
      <c r="P96" s="32" t="s">
        <v>500</v>
      </c>
      <c r="Q96" s="23" t="s">
        <v>963</v>
      </c>
      <c r="Y96" s="6"/>
    </row>
    <row r="97" spans="1:25" ht="16.5">
      <c r="A97" s="25">
        <v>46034</v>
      </c>
      <c r="B97" s="29">
        <v>0.62847222222222221</v>
      </c>
      <c r="C97" s="19">
        <v>46035</v>
      </c>
      <c r="D97" s="24" t="str">
        <f t="shared" si="13"/>
        <v>NGW</v>
      </c>
      <c r="E97" s="13" t="str">
        <f>VLOOKUP(D:D,工作表2!A:B,2,0)</f>
        <v>邦善</v>
      </c>
      <c r="F97" s="13" t="str">
        <f>VLOOKUP(D:D,工作表2!A:C,3,0)</f>
        <v>白</v>
      </c>
      <c r="G97" s="17">
        <v>10305409</v>
      </c>
      <c r="H97" s="17" t="s">
        <v>561</v>
      </c>
      <c r="I97" s="18" t="s">
        <v>569</v>
      </c>
      <c r="J97" s="15">
        <v>560</v>
      </c>
      <c r="K97" s="15">
        <v>32</v>
      </c>
      <c r="L97" s="20">
        <f t="shared" si="14"/>
        <v>5.7142857142857141E-2</v>
      </c>
      <c r="M97" s="12">
        <v>19</v>
      </c>
      <c r="N97" s="12">
        <v>13</v>
      </c>
      <c r="P97" s="32" t="s">
        <v>500</v>
      </c>
      <c r="Q97" s="23" t="s">
        <v>963</v>
      </c>
      <c r="Y97" s="6"/>
    </row>
    <row r="98" spans="1:25" ht="16.5">
      <c r="A98" s="25">
        <v>46030</v>
      </c>
      <c r="B98" s="29">
        <v>0.60277777777777775</v>
      </c>
      <c r="C98" s="19">
        <v>46035</v>
      </c>
      <c r="D98" s="24" t="str">
        <f t="shared" si="13"/>
        <v>28A</v>
      </c>
      <c r="E98" s="13" t="str">
        <f>VLOOKUP(D:D,工作表2!A:B,2,0)</f>
        <v>邦善</v>
      </c>
      <c r="F98" s="13" t="str">
        <f>VLOOKUP(D:D,工作表2!A:C,3,0)</f>
        <v>灰</v>
      </c>
      <c r="G98" s="17">
        <v>10298584</v>
      </c>
      <c r="H98" s="17" t="s">
        <v>564</v>
      </c>
      <c r="I98" s="18" t="s">
        <v>572</v>
      </c>
      <c r="J98" s="15">
        <v>30</v>
      </c>
      <c r="K98" s="15">
        <v>3</v>
      </c>
      <c r="L98" s="20">
        <f t="shared" si="14"/>
        <v>0.1</v>
      </c>
      <c r="M98" s="12">
        <v>2</v>
      </c>
      <c r="N98" s="12">
        <v>1</v>
      </c>
      <c r="P98" s="32" t="s">
        <v>500</v>
      </c>
      <c r="Q98" s="23"/>
      <c r="Y98" s="6"/>
    </row>
    <row r="99" spans="1:25" ht="16.5">
      <c r="A99" s="25">
        <v>46035</v>
      </c>
      <c r="B99" s="29">
        <v>0.38194444444444442</v>
      </c>
      <c r="C99" s="11">
        <v>46036</v>
      </c>
      <c r="D99" s="24" t="str">
        <f t="shared" ref="D99:D109" si="15">RIGHT(I99,3)</f>
        <v>QRB</v>
      </c>
      <c r="E99" s="13" t="str">
        <f>VLOOKUP(D:D,工作表2!A:B,2,0)</f>
        <v>邦善</v>
      </c>
      <c r="F99" s="13" t="str">
        <f>VLOOKUP(D:D,工作表2!A:C,3,0)</f>
        <v>霧面黑</v>
      </c>
      <c r="G99" s="17">
        <v>10309287</v>
      </c>
      <c r="H99" s="17" t="s">
        <v>170</v>
      </c>
      <c r="I99" s="18" t="s">
        <v>171</v>
      </c>
      <c r="J99" s="15">
        <v>25802</v>
      </c>
      <c r="K99" s="15">
        <v>1488</v>
      </c>
      <c r="L99" s="20">
        <f t="shared" ref="L99:L119" si="16">K99/J99</f>
        <v>5.7669948066041393E-2</v>
      </c>
      <c r="M99" s="12">
        <v>1200</v>
      </c>
      <c r="N99" s="12">
        <v>274</v>
      </c>
      <c r="O99" s="15">
        <v>14</v>
      </c>
      <c r="P99" s="32" t="s">
        <v>500</v>
      </c>
      <c r="Q99" s="23"/>
      <c r="Y99" s="6"/>
    </row>
    <row r="100" spans="1:25" ht="16.5">
      <c r="A100" s="25">
        <v>46035</v>
      </c>
      <c r="B100" s="29">
        <v>0.4770833333333333</v>
      </c>
      <c r="C100" s="19">
        <v>46036</v>
      </c>
      <c r="D100" s="24" t="str">
        <f t="shared" si="15"/>
        <v>VKB</v>
      </c>
      <c r="E100" s="13" t="str">
        <f>VLOOKUP(D:D,工作表2!A:B,2,0)</f>
        <v>華山</v>
      </c>
      <c r="F100" s="13" t="str">
        <f>VLOOKUP(D:D,工作表2!A:C,3,0)</f>
        <v>霧面黑</v>
      </c>
      <c r="G100" s="17">
        <v>10310834</v>
      </c>
      <c r="H100" s="17" t="s">
        <v>542</v>
      </c>
      <c r="I100" s="18" t="s">
        <v>553</v>
      </c>
      <c r="J100" s="15">
        <v>1400</v>
      </c>
      <c r="K100" s="15">
        <v>23</v>
      </c>
      <c r="L100" s="20">
        <f t="shared" si="16"/>
        <v>1.6428571428571428E-2</v>
      </c>
      <c r="M100" s="12">
        <v>19</v>
      </c>
      <c r="N100" s="12">
        <v>4</v>
      </c>
      <c r="P100" s="32" t="s">
        <v>500</v>
      </c>
      <c r="Q100" s="23"/>
      <c r="Y100" s="6"/>
    </row>
    <row r="101" spans="1:25" ht="16.5">
      <c r="A101" s="25">
        <v>46035</v>
      </c>
      <c r="B101" s="29">
        <v>0.61736111111111114</v>
      </c>
      <c r="C101" s="19">
        <v>46036</v>
      </c>
      <c r="D101" s="24" t="str">
        <f t="shared" si="15"/>
        <v>NGW</v>
      </c>
      <c r="E101" s="13" t="str">
        <f>VLOOKUP(D:D,工作表2!A:B,2,0)</f>
        <v>邦善</v>
      </c>
      <c r="F101" s="13" t="str">
        <f>VLOOKUP(D:D,工作表2!A:C,3,0)</f>
        <v>白</v>
      </c>
      <c r="G101" s="17">
        <v>10305431</v>
      </c>
      <c r="H101" s="17" t="s">
        <v>327</v>
      </c>
      <c r="I101" s="18" t="s">
        <v>328</v>
      </c>
      <c r="J101" s="15">
        <v>360</v>
      </c>
      <c r="K101" s="15">
        <v>52</v>
      </c>
      <c r="L101" s="20">
        <f t="shared" si="16"/>
        <v>0.14444444444444443</v>
      </c>
      <c r="M101" s="12">
        <v>38</v>
      </c>
      <c r="N101" s="12">
        <v>14</v>
      </c>
      <c r="P101" s="32" t="s">
        <v>500</v>
      </c>
      <c r="Q101" s="23" t="s">
        <v>963</v>
      </c>
      <c r="Y101" s="6"/>
    </row>
    <row r="102" spans="1:25" ht="16.5">
      <c r="A102" s="25">
        <v>46035</v>
      </c>
      <c r="B102" s="29">
        <v>0.53472222222222221</v>
      </c>
      <c r="C102" s="19">
        <v>46036</v>
      </c>
      <c r="D102" s="24" t="str">
        <f t="shared" si="15"/>
        <v>Q9B</v>
      </c>
      <c r="E102" s="13" t="str">
        <f>VLOOKUP(D:D,工作表2!A:B,2,0)</f>
        <v>邦善</v>
      </c>
      <c r="F102" s="13" t="str">
        <f>VLOOKUP(D:D,工作表2!A:C,3,0)</f>
        <v>黑</v>
      </c>
      <c r="G102" s="17">
        <v>10310770</v>
      </c>
      <c r="H102" s="17" t="s">
        <v>516</v>
      </c>
      <c r="I102" s="18" t="s">
        <v>528</v>
      </c>
      <c r="J102" s="15">
        <v>480</v>
      </c>
      <c r="K102" s="15">
        <v>120</v>
      </c>
      <c r="L102" s="20">
        <f t="shared" si="16"/>
        <v>0.25</v>
      </c>
      <c r="M102" s="12">
        <v>100</v>
      </c>
      <c r="N102" s="12">
        <v>20</v>
      </c>
      <c r="P102" s="32" t="s">
        <v>500</v>
      </c>
      <c r="Q102" s="23" t="s">
        <v>962</v>
      </c>
      <c r="Y102" s="6"/>
    </row>
    <row r="103" spans="1:25" ht="16.5">
      <c r="A103" s="25">
        <v>46034</v>
      </c>
      <c r="B103" s="29">
        <v>0.64166666666666672</v>
      </c>
      <c r="C103" s="19">
        <v>46036</v>
      </c>
      <c r="D103" s="24" t="str">
        <f t="shared" si="15"/>
        <v>NGW</v>
      </c>
      <c r="E103" s="13" t="str">
        <f>VLOOKUP(D:D,工作表2!A:B,2,0)</f>
        <v>邦善</v>
      </c>
      <c r="F103" s="13" t="str">
        <f>VLOOKUP(D:D,工作表2!A:C,3,0)</f>
        <v>白</v>
      </c>
      <c r="G103" s="17">
        <v>10305432</v>
      </c>
      <c r="H103" s="17" t="s">
        <v>425</v>
      </c>
      <c r="I103" s="18" t="s">
        <v>430</v>
      </c>
      <c r="J103" s="15">
        <v>560</v>
      </c>
      <c r="K103" s="15">
        <v>51</v>
      </c>
      <c r="L103" s="20">
        <f t="shared" si="16"/>
        <v>9.1071428571428567E-2</v>
      </c>
      <c r="M103" s="12">
        <v>45</v>
      </c>
      <c r="N103" s="12">
        <v>6</v>
      </c>
      <c r="P103" s="32" t="s">
        <v>500</v>
      </c>
      <c r="Q103" s="23" t="s">
        <v>962</v>
      </c>
      <c r="Y103" s="6"/>
    </row>
    <row r="104" spans="1:25" ht="16.5">
      <c r="A104" s="25">
        <v>46034</v>
      </c>
      <c r="B104" s="29">
        <v>0.59513888888888888</v>
      </c>
      <c r="C104" s="19">
        <v>46036</v>
      </c>
      <c r="D104" s="24" t="str">
        <f t="shared" si="15"/>
        <v>NGW</v>
      </c>
      <c r="E104" s="13" t="str">
        <f>VLOOKUP(D:D,工作表2!A:B,2,0)</f>
        <v>邦善</v>
      </c>
      <c r="F104" s="13" t="str">
        <f>VLOOKUP(D:D,工作表2!A:C,3,0)</f>
        <v>白</v>
      </c>
      <c r="G104" s="17">
        <v>10305422</v>
      </c>
      <c r="H104" s="17" t="s">
        <v>579</v>
      </c>
      <c r="I104" s="18" t="s">
        <v>581</v>
      </c>
      <c r="J104" s="15">
        <v>250</v>
      </c>
      <c r="K104" s="15">
        <v>15</v>
      </c>
      <c r="L104" s="20">
        <f t="shared" si="16"/>
        <v>0.06</v>
      </c>
      <c r="M104" s="12">
        <v>10</v>
      </c>
      <c r="N104" s="12">
        <v>5</v>
      </c>
      <c r="P104" s="32" t="s">
        <v>500</v>
      </c>
      <c r="Q104" s="23"/>
      <c r="Y104" s="6"/>
    </row>
    <row r="105" spans="1:25" ht="16.5">
      <c r="A105" s="25">
        <v>46035</v>
      </c>
      <c r="B105" s="29">
        <v>0.58194444444444449</v>
      </c>
      <c r="C105" s="19">
        <v>46036</v>
      </c>
      <c r="D105" s="24" t="str">
        <f t="shared" si="15"/>
        <v>NGW</v>
      </c>
      <c r="E105" s="13" t="str">
        <f>VLOOKUP(D:D,工作表2!A:B,2,0)</f>
        <v>邦善</v>
      </c>
      <c r="F105" s="13" t="str">
        <f>VLOOKUP(D:D,工作表2!A:C,3,0)</f>
        <v>白</v>
      </c>
      <c r="G105" s="17">
        <v>10305423</v>
      </c>
      <c r="H105" s="17" t="s">
        <v>377</v>
      </c>
      <c r="I105" s="18" t="s">
        <v>381</v>
      </c>
      <c r="J105" s="15">
        <v>520</v>
      </c>
      <c r="K105" s="15">
        <v>31</v>
      </c>
      <c r="L105" s="20">
        <f t="shared" si="16"/>
        <v>5.9615384615384619E-2</v>
      </c>
      <c r="M105" s="12">
        <v>26</v>
      </c>
      <c r="N105" s="12">
        <v>5</v>
      </c>
      <c r="P105" s="32" t="s">
        <v>500</v>
      </c>
      <c r="Q105" s="23"/>
      <c r="Y105" s="6"/>
    </row>
    <row r="106" spans="1:25" ht="16.5">
      <c r="A106" s="25">
        <v>46029</v>
      </c>
      <c r="B106" s="29">
        <v>0.61041666666666672</v>
      </c>
      <c r="C106" s="19">
        <v>46036</v>
      </c>
      <c r="D106" s="24" t="str">
        <f t="shared" si="15"/>
        <v>NGW</v>
      </c>
      <c r="E106" s="13" t="str">
        <f>VLOOKUP(D:D,工作表2!A:B,2,0)</f>
        <v>邦善</v>
      </c>
      <c r="F106" s="13" t="str">
        <f>VLOOKUP(D:D,工作表2!A:C,3,0)</f>
        <v>白</v>
      </c>
      <c r="G106" s="17">
        <v>10305420</v>
      </c>
      <c r="H106" s="17" t="s">
        <v>382</v>
      </c>
      <c r="I106" s="18" t="s">
        <v>387</v>
      </c>
      <c r="J106" s="15">
        <v>400</v>
      </c>
      <c r="K106" s="15">
        <v>22</v>
      </c>
      <c r="L106" s="20">
        <f t="shared" si="16"/>
        <v>5.5E-2</v>
      </c>
      <c r="M106" s="12">
        <v>18</v>
      </c>
      <c r="N106" s="12">
        <v>4</v>
      </c>
      <c r="P106" s="32" t="s">
        <v>500</v>
      </c>
      <c r="Q106" s="23" t="s">
        <v>963</v>
      </c>
      <c r="Y106" s="6"/>
    </row>
    <row r="107" spans="1:25" ht="16.5">
      <c r="A107" s="25">
        <v>46034</v>
      </c>
      <c r="B107" s="29">
        <v>0.60416666666666663</v>
      </c>
      <c r="C107" s="19">
        <v>46036</v>
      </c>
      <c r="D107" s="24" t="str">
        <f t="shared" si="15"/>
        <v>NGW</v>
      </c>
      <c r="E107" s="13" t="str">
        <f>VLOOKUP(D:D,工作表2!A:B,2,0)</f>
        <v>邦善</v>
      </c>
      <c r="F107" s="13" t="str">
        <f>VLOOKUP(D:D,工作表2!A:C,3,0)</f>
        <v>白</v>
      </c>
      <c r="G107" s="17">
        <v>10305421</v>
      </c>
      <c r="H107" s="17" t="s">
        <v>435</v>
      </c>
      <c r="I107" s="18" t="s">
        <v>437</v>
      </c>
      <c r="J107" s="15">
        <v>400</v>
      </c>
      <c r="K107" s="15">
        <v>23</v>
      </c>
      <c r="L107" s="20">
        <f t="shared" si="16"/>
        <v>5.7500000000000002E-2</v>
      </c>
      <c r="M107" s="12">
        <v>16</v>
      </c>
      <c r="N107" s="12">
        <v>7</v>
      </c>
      <c r="P107" s="32" t="s">
        <v>500</v>
      </c>
      <c r="Q107" s="23" t="s">
        <v>962</v>
      </c>
      <c r="Y107" s="6"/>
    </row>
    <row r="108" spans="1:25" ht="16.5">
      <c r="A108" s="25">
        <v>46035</v>
      </c>
      <c r="B108" s="29">
        <v>0.63541666666666663</v>
      </c>
      <c r="C108" s="19">
        <v>46036</v>
      </c>
      <c r="D108" s="24" t="str">
        <f t="shared" si="15"/>
        <v>QDW</v>
      </c>
      <c r="E108" s="13" t="str">
        <f>VLOOKUP(D:D,工作表2!A:B,2,0)</f>
        <v>邦善</v>
      </c>
      <c r="F108" s="13" t="str">
        <f>VLOOKUP(D:D,工作表2!A:C,3,0)</f>
        <v>白</v>
      </c>
      <c r="G108" s="17">
        <v>10310325</v>
      </c>
      <c r="H108" s="17" t="s">
        <v>442</v>
      </c>
      <c r="I108" s="18" t="s">
        <v>443</v>
      </c>
      <c r="J108" s="15">
        <v>210</v>
      </c>
      <c r="K108" s="15">
        <v>14</v>
      </c>
      <c r="L108" s="20">
        <f t="shared" si="16"/>
        <v>6.6666666666666666E-2</v>
      </c>
      <c r="M108" s="12">
        <v>10</v>
      </c>
      <c r="N108" s="12">
        <v>4</v>
      </c>
      <c r="P108" s="32" t="s">
        <v>500</v>
      </c>
      <c r="Q108" s="23" t="s">
        <v>961</v>
      </c>
      <c r="Y108" s="6"/>
    </row>
    <row r="109" spans="1:25" ht="16.5">
      <c r="A109" s="25">
        <v>46034</v>
      </c>
      <c r="B109" s="29">
        <v>0.54027777777777775</v>
      </c>
      <c r="C109" s="19">
        <v>46036</v>
      </c>
      <c r="D109" s="24" t="str">
        <f t="shared" si="15"/>
        <v>BBB</v>
      </c>
      <c r="E109" s="13" t="str">
        <f>VLOOKUP(D:D,工作表2!A:B,2,0)</f>
        <v>邦善</v>
      </c>
      <c r="F109" s="13" t="str">
        <f>VLOOKUP(D:D,工作表2!A:C,3,0)</f>
        <v>霧面黑</v>
      </c>
      <c r="G109" s="17">
        <v>10310300</v>
      </c>
      <c r="H109" s="17" t="s">
        <v>578</v>
      </c>
      <c r="I109" s="18" t="s">
        <v>580</v>
      </c>
      <c r="J109" s="15">
        <v>160</v>
      </c>
      <c r="K109" s="15">
        <v>10</v>
      </c>
      <c r="L109" s="20">
        <f t="shared" si="16"/>
        <v>6.25E-2</v>
      </c>
      <c r="M109" s="12">
        <v>8</v>
      </c>
      <c r="N109" s="12">
        <v>2</v>
      </c>
      <c r="P109" s="32" t="s">
        <v>500</v>
      </c>
      <c r="Q109" s="23"/>
      <c r="Y109" s="6"/>
    </row>
    <row r="110" spans="1:25" ht="16.5">
      <c r="A110" s="25">
        <v>46036</v>
      </c>
      <c r="B110" s="29">
        <v>0.55138888888888882</v>
      </c>
      <c r="C110" s="11">
        <v>46037</v>
      </c>
      <c r="D110" s="24" t="str">
        <f t="shared" ref="D110:D119" si="17">RIGHT(I110,3)</f>
        <v>VWL</v>
      </c>
      <c r="E110" s="13" t="str">
        <f>VLOOKUP(D:D,工作表2!A:B,2,0)</f>
        <v>邦善</v>
      </c>
      <c r="F110" s="13" t="str">
        <f>VLOOKUP(D:D,工作表2!A:C,3,0)</f>
        <v>藍</v>
      </c>
      <c r="G110" s="17">
        <v>10309322</v>
      </c>
      <c r="H110" s="17" t="s">
        <v>400</v>
      </c>
      <c r="I110" s="18" t="s">
        <v>401</v>
      </c>
      <c r="J110" s="15">
        <v>532</v>
      </c>
      <c r="K110" s="15">
        <v>44</v>
      </c>
      <c r="L110" s="20">
        <f t="shared" si="16"/>
        <v>8.2706766917293228E-2</v>
      </c>
      <c r="M110" s="12">
        <v>32</v>
      </c>
      <c r="N110" s="12">
        <v>12</v>
      </c>
      <c r="P110" s="32" t="s">
        <v>500</v>
      </c>
      <c r="Q110" s="23"/>
      <c r="Y110" s="6"/>
    </row>
    <row r="111" spans="1:25" ht="16.5">
      <c r="A111" s="25">
        <v>46036</v>
      </c>
      <c r="B111" s="29">
        <v>0.55833333333333335</v>
      </c>
      <c r="C111" s="19">
        <v>46037</v>
      </c>
      <c r="D111" s="24" t="str">
        <f t="shared" si="17"/>
        <v>QXR</v>
      </c>
      <c r="E111" s="13" t="str">
        <f>VLOOKUP(D:D,工作表2!A:B,2,0)</f>
        <v>邦善</v>
      </c>
      <c r="F111" s="13" t="str">
        <f>VLOOKUP(D:D,工作表2!A:C,3,0)</f>
        <v>紅</v>
      </c>
      <c r="G111" s="17">
        <v>10309317</v>
      </c>
      <c r="H111" s="17" t="s">
        <v>582</v>
      </c>
      <c r="I111" s="18" t="s">
        <v>586</v>
      </c>
      <c r="J111" s="15">
        <v>266</v>
      </c>
      <c r="K111" s="15">
        <v>44</v>
      </c>
      <c r="L111" s="20">
        <f t="shared" si="16"/>
        <v>0.16541353383458646</v>
      </c>
      <c r="M111" s="12">
        <v>24</v>
      </c>
      <c r="N111" s="12">
        <v>20</v>
      </c>
      <c r="P111" s="32" t="s">
        <v>500</v>
      </c>
      <c r="Q111" s="23"/>
      <c r="Y111" s="6"/>
    </row>
    <row r="112" spans="1:25" ht="16.5">
      <c r="A112" s="25">
        <v>46036</v>
      </c>
      <c r="B112" s="29">
        <v>0.41875000000000001</v>
      </c>
      <c r="C112" s="19">
        <v>46037</v>
      </c>
      <c r="D112" s="24" t="str">
        <f t="shared" si="17"/>
        <v>QSB</v>
      </c>
      <c r="E112" s="13" t="str">
        <f>VLOOKUP(D:D,工作表2!A:B,2,0)</f>
        <v>邦善</v>
      </c>
      <c r="F112" s="13" t="str">
        <f>VLOOKUP(D:D,工作表2!A:C,3,0)</f>
        <v>黑</v>
      </c>
      <c r="G112" s="17">
        <v>10309300</v>
      </c>
      <c r="H112" s="17" t="s">
        <v>583</v>
      </c>
      <c r="I112" s="18" t="s">
        <v>587</v>
      </c>
      <c r="J112" s="15">
        <v>14896</v>
      </c>
      <c r="K112" s="15">
        <v>1139</v>
      </c>
      <c r="L112" s="20">
        <f t="shared" si="16"/>
        <v>7.646348012889366E-2</v>
      </c>
      <c r="M112" s="12">
        <v>900</v>
      </c>
      <c r="N112" s="12">
        <v>239</v>
      </c>
      <c r="P112" s="32" t="s">
        <v>500</v>
      </c>
      <c r="Q112" s="23"/>
      <c r="Y112" s="6"/>
    </row>
    <row r="113" spans="1:25" ht="16.5">
      <c r="A113" s="25">
        <v>46036</v>
      </c>
      <c r="B113" s="29">
        <v>0.55625000000000002</v>
      </c>
      <c r="C113" s="19">
        <v>46037</v>
      </c>
      <c r="D113" s="24" t="str">
        <f t="shared" si="17"/>
        <v>R2L</v>
      </c>
      <c r="E113" s="13" t="str">
        <f>VLOOKUP(D:D,工作表2!A:B,2,0)</f>
        <v>建榮</v>
      </c>
      <c r="F113" s="13" t="str">
        <f>VLOOKUP(D:D,工作表2!A:C,3,0)</f>
        <v>藍</v>
      </c>
      <c r="G113" s="17">
        <v>10309314</v>
      </c>
      <c r="H113" s="17" t="s">
        <v>584</v>
      </c>
      <c r="I113" s="18" t="s">
        <v>588</v>
      </c>
      <c r="J113" s="15">
        <v>798</v>
      </c>
      <c r="K113" s="15">
        <v>56</v>
      </c>
      <c r="L113" s="20">
        <f t="shared" si="16"/>
        <v>7.0175438596491224E-2</v>
      </c>
      <c r="M113" s="12">
        <v>48</v>
      </c>
      <c r="N113" s="12">
        <v>8</v>
      </c>
      <c r="P113" s="32" t="s">
        <v>500</v>
      </c>
      <c r="Q113" s="23"/>
      <c r="Y113" s="6"/>
    </row>
    <row r="114" spans="1:25" ht="16.5">
      <c r="A114" s="25">
        <v>46036</v>
      </c>
      <c r="B114" s="29">
        <v>0.55347222222222225</v>
      </c>
      <c r="C114" s="19">
        <v>46037</v>
      </c>
      <c r="D114" s="24" t="str">
        <f t="shared" si="17"/>
        <v>VXW</v>
      </c>
      <c r="E114" s="13" t="str">
        <f>VLOOKUP(D:D,工作表2!A:B,2,0)</f>
        <v>邦善</v>
      </c>
      <c r="F114" s="13" t="str">
        <f>VLOOKUP(D:D,工作表2!A:C,3,0)</f>
        <v>白</v>
      </c>
      <c r="G114" s="17">
        <v>10309324</v>
      </c>
      <c r="H114" s="17" t="s">
        <v>397</v>
      </c>
      <c r="I114" s="18" t="s">
        <v>399</v>
      </c>
      <c r="J114" s="15">
        <v>266</v>
      </c>
      <c r="K114" s="15">
        <v>30</v>
      </c>
      <c r="L114" s="20">
        <f t="shared" si="16"/>
        <v>0.11278195488721804</v>
      </c>
      <c r="M114" s="12">
        <v>20</v>
      </c>
      <c r="N114" s="12">
        <v>10</v>
      </c>
      <c r="P114" s="32" t="s">
        <v>500</v>
      </c>
      <c r="Q114" s="23"/>
      <c r="Y114" s="6"/>
    </row>
    <row r="115" spans="1:25" ht="16.5">
      <c r="A115" s="25">
        <v>46035</v>
      </c>
      <c r="B115" s="29">
        <v>0.63402777777777775</v>
      </c>
      <c r="C115" s="19">
        <v>46037</v>
      </c>
      <c r="D115" s="24" t="str">
        <f t="shared" si="17"/>
        <v>QDW</v>
      </c>
      <c r="E115" s="13" t="str">
        <f>VLOOKUP(D:D,工作表2!A:B,2,0)</f>
        <v>邦善</v>
      </c>
      <c r="F115" s="13" t="str">
        <f>VLOOKUP(D:D,工作表2!A:C,3,0)</f>
        <v>白</v>
      </c>
      <c r="G115" s="17">
        <v>10310326</v>
      </c>
      <c r="H115" s="17" t="s">
        <v>439</v>
      </c>
      <c r="I115" s="18" t="s">
        <v>440</v>
      </c>
      <c r="J115" s="15">
        <v>144</v>
      </c>
      <c r="K115" s="15">
        <v>12</v>
      </c>
      <c r="L115" s="20">
        <f t="shared" si="16"/>
        <v>8.3333333333333329E-2</v>
      </c>
      <c r="M115" s="12">
        <v>8</v>
      </c>
      <c r="N115" s="12">
        <v>4</v>
      </c>
      <c r="P115" s="32" t="s">
        <v>500</v>
      </c>
      <c r="Q115" s="23"/>
      <c r="Y115" s="6"/>
    </row>
    <row r="116" spans="1:25" ht="16.5">
      <c r="A116" s="25">
        <v>46035</v>
      </c>
      <c r="B116" s="29">
        <v>0.53472222222222221</v>
      </c>
      <c r="C116" s="19">
        <v>46037</v>
      </c>
      <c r="D116" s="24" t="str">
        <f t="shared" si="17"/>
        <v>Q9B</v>
      </c>
      <c r="E116" s="13" t="str">
        <f>VLOOKUP(D:D,工作表2!A:B,2,0)</f>
        <v>邦善</v>
      </c>
      <c r="F116" s="13" t="str">
        <f>VLOOKUP(D:D,工作表2!A:C,3,0)</f>
        <v>黑</v>
      </c>
      <c r="G116" s="17">
        <v>10310771</v>
      </c>
      <c r="H116" s="17" t="s">
        <v>516</v>
      </c>
      <c r="I116" s="18" t="s">
        <v>528</v>
      </c>
      <c r="J116" s="15">
        <v>480</v>
      </c>
      <c r="K116" s="15">
        <v>122</v>
      </c>
      <c r="L116" s="20">
        <f t="shared" si="16"/>
        <v>0.25416666666666665</v>
      </c>
      <c r="M116" s="12">
        <v>100</v>
      </c>
      <c r="N116" s="12">
        <v>22</v>
      </c>
      <c r="P116" s="32" t="s">
        <v>500</v>
      </c>
      <c r="Q116" s="23" t="s">
        <v>962</v>
      </c>
      <c r="Y116" s="6"/>
    </row>
    <row r="117" spans="1:25" ht="16.5">
      <c r="A117" s="25">
        <v>46035</v>
      </c>
      <c r="B117" s="29">
        <v>0.55347222222222225</v>
      </c>
      <c r="C117" s="19">
        <v>46037</v>
      </c>
      <c r="D117" s="24" t="str">
        <f t="shared" si="17"/>
        <v>RCA</v>
      </c>
      <c r="E117" s="13" t="str">
        <f>VLOOKUP(D:D,工作表2!A:B,2,0)</f>
        <v>邦善</v>
      </c>
      <c r="F117" s="13" t="str">
        <f>VLOOKUP(D:D,工作表2!A:C,3,0)</f>
        <v>灰</v>
      </c>
      <c r="G117" s="17">
        <v>10305416</v>
      </c>
      <c r="H117" s="17" t="s">
        <v>585</v>
      </c>
      <c r="I117" s="18" t="s">
        <v>589</v>
      </c>
      <c r="J117" s="15">
        <v>320</v>
      </c>
      <c r="K117" s="15">
        <v>28</v>
      </c>
      <c r="L117" s="20">
        <f t="shared" si="16"/>
        <v>8.7499999999999994E-2</v>
      </c>
      <c r="M117" s="12">
        <v>25</v>
      </c>
      <c r="N117" s="12">
        <v>3</v>
      </c>
      <c r="P117" s="32" t="s">
        <v>500</v>
      </c>
      <c r="Q117" s="23" t="s">
        <v>963</v>
      </c>
      <c r="Y117" s="6"/>
    </row>
    <row r="118" spans="1:25" ht="16.5">
      <c r="A118" s="25">
        <v>46030</v>
      </c>
      <c r="B118" s="29">
        <v>0.64583333333333337</v>
      </c>
      <c r="C118" s="19">
        <v>46037</v>
      </c>
      <c r="D118" s="24" t="str">
        <f t="shared" si="17"/>
        <v>NGW</v>
      </c>
      <c r="E118" s="13" t="str">
        <f>VLOOKUP(D:D,工作表2!A:B,2,0)</f>
        <v>邦善</v>
      </c>
      <c r="F118" s="13" t="str">
        <f>VLOOKUP(D:D,工作表2!A:C,3,0)</f>
        <v>白</v>
      </c>
      <c r="G118" s="17">
        <v>10305434</v>
      </c>
      <c r="H118" s="17" t="s">
        <v>386</v>
      </c>
      <c r="I118" s="18" t="s">
        <v>391</v>
      </c>
      <c r="J118" s="15">
        <v>520</v>
      </c>
      <c r="K118" s="15">
        <v>21</v>
      </c>
      <c r="L118" s="20">
        <f t="shared" si="16"/>
        <v>4.0384615384615387E-2</v>
      </c>
      <c r="M118" s="12">
        <v>19</v>
      </c>
      <c r="N118" s="12">
        <v>2</v>
      </c>
      <c r="P118" s="32" t="s">
        <v>500</v>
      </c>
      <c r="Q118" s="23"/>
      <c r="Y118" s="6"/>
    </row>
    <row r="119" spans="1:25" ht="16.5">
      <c r="A119" s="25">
        <v>46036</v>
      </c>
      <c r="B119" s="29">
        <v>0.47083333333333338</v>
      </c>
      <c r="C119" s="19">
        <v>46037</v>
      </c>
      <c r="D119" s="24" t="str">
        <f t="shared" si="17"/>
        <v>QSB</v>
      </c>
      <c r="E119" s="13" t="str">
        <f>VLOOKUP(D:D,工作表2!A:B,2,0)</f>
        <v>邦善</v>
      </c>
      <c r="F119" s="13" t="str">
        <f>VLOOKUP(D:D,工作表2!A:C,3,0)</f>
        <v>黑</v>
      </c>
      <c r="G119" s="17">
        <v>10309265</v>
      </c>
      <c r="H119" s="17" t="s">
        <v>583</v>
      </c>
      <c r="I119" s="18" t="s">
        <v>587</v>
      </c>
      <c r="J119" s="15">
        <v>8512</v>
      </c>
      <c r="K119" s="15">
        <v>621</v>
      </c>
      <c r="L119" s="20">
        <f t="shared" si="16"/>
        <v>7.2955827067669177E-2</v>
      </c>
      <c r="M119" s="12">
        <v>351</v>
      </c>
      <c r="N119" s="12">
        <v>270</v>
      </c>
      <c r="P119" s="32" t="s">
        <v>500</v>
      </c>
      <c r="Q119" s="23"/>
      <c r="Y119" s="6"/>
    </row>
    <row r="120" spans="1:25" ht="16.5">
      <c r="A120" s="25">
        <v>46037</v>
      </c>
      <c r="B120" s="29">
        <v>0.3923611111111111</v>
      </c>
      <c r="C120" s="11">
        <v>46038</v>
      </c>
      <c r="D120" s="24" t="str">
        <f t="shared" ref="D120:D139" si="18">RIGHT(I120,3)</f>
        <v>QRB</v>
      </c>
      <c r="E120" s="13" t="str">
        <f>VLOOKUP(D:D,工作表2!A:B,2,0)</f>
        <v>邦善</v>
      </c>
      <c r="F120" s="13" t="str">
        <f>VLOOKUP(D:D,工作表2!A:C,3,0)</f>
        <v>霧面黑</v>
      </c>
      <c r="G120" s="17">
        <v>10309288</v>
      </c>
      <c r="H120" s="17" t="s">
        <v>170</v>
      </c>
      <c r="I120" s="18" t="s">
        <v>171</v>
      </c>
      <c r="J120" s="15">
        <v>13034</v>
      </c>
      <c r="K120" s="15">
        <v>434</v>
      </c>
      <c r="L120" s="20">
        <f t="shared" ref="L120:L139" si="19">K120/J120</f>
        <v>3.3297529538131039E-2</v>
      </c>
      <c r="M120" s="12">
        <v>400</v>
      </c>
      <c r="N120" s="12">
        <v>24</v>
      </c>
      <c r="O120" s="15">
        <v>10</v>
      </c>
      <c r="P120" s="32" t="s">
        <v>500</v>
      </c>
      <c r="Q120" s="23"/>
      <c r="Y120" s="6"/>
    </row>
    <row r="121" spans="1:25" ht="16.5">
      <c r="A121" s="25">
        <v>46034</v>
      </c>
      <c r="B121" s="29">
        <v>0.38541666666666669</v>
      </c>
      <c r="C121" s="19">
        <v>46038</v>
      </c>
      <c r="D121" s="24" t="str">
        <f t="shared" si="18"/>
        <v>QRB</v>
      </c>
      <c r="E121" s="13" t="str">
        <f>VLOOKUP(D:D,工作表2!A:B,2,0)</f>
        <v>邦善</v>
      </c>
      <c r="F121" s="13" t="str">
        <f>VLOOKUP(D:D,工作表2!A:C,3,0)</f>
        <v>霧面黑</v>
      </c>
      <c r="G121" s="17">
        <v>10309292</v>
      </c>
      <c r="H121" s="17" t="s">
        <v>170</v>
      </c>
      <c r="I121" s="18" t="s">
        <v>171</v>
      </c>
      <c r="J121" s="15">
        <v>5012</v>
      </c>
      <c r="K121" s="15">
        <v>212</v>
      </c>
      <c r="L121" s="20">
        <f t="shared" si="19"/>
        <v>4.2298483639265763E-2</v>
      </c>
      <c r="M121" s="12">
        <v>184</v>
      </c>
      <c r="N121" s="12">
        <v>18</v>
      </c>
      <c r="O121" s="15">
        <v>10</v>
      </c>
      <c r="P121" s="32" t="s">
        <v>500</v>
      </c>
      <c r="Q121" s="23"/>
      <c r="Y121" s="6"/>
    </row>
    <row r="122" spans="1:25" ht="16.5">
      <c r="A122" s="25">
        <v>46036</v>
      </c>
      <c r="B122" s="29">
        <v>0.54583333333333328</v>
      </c>
      <c r="C122" s="19">
        <v>46038</v>
      </c>
      <c r="D122" s="24" t="str">
        <f t="shared" si="18"/>
        <v>QVA</v>
      </c>
      <c r="E122" s="13" t="str">
        <f>VLOOKUP(D:D,工作表2!A:B,2,0)</f>
        <v>邦善</v>
      </c>
      <c r="F122" s="13" t="str">
        <f>VLOOKUP(D:D,工作表2!A:C,3,0)</f>
        <v>灰</v>
      </c>
      <c r="G122" s="17">
        <v>10309316</v>
      </c>
      <c r="H122" s="17" t="s">
        <v>606</v>
      </c>
      <c r="I122" s="18" t="s">
        <v>608</v>
      </c>
      <c r="J122" s="15">
        <v>1330</v>
      </c>
      <c r="K122" s="15">
        <v>47</v>
      </c>
      <c r="L122" s="20">
        <f t="shared" si="19"/>
        <v>3.5338345864661655E-2</v>
      </c>
      <c r="M122" s="12">
        <v>40</v>
      </c>
      <c r="N122" s="12">
        <v>7</v>
      </c>
      <c r="P122" s="32" t="s">
        <v>500</v>
      </c>
      <c r="Q122" s="23"/>
      <c r="Y122" s="6"/>
    </row>
    <row r="123" spans="1:25" ht="16.5">
      <c r="A123" s="25">
        <v>46037</v>
      </c>
      <c r="B123" s="29">
        <v>0.53194444444444444</v>
      </c>
      <c r="C123" s="19">
        <v>46038</v>
      </c>
      <c r="D123" s="24" t="str">
        <f t="shared" si="18"/>
        <v>VKB</v>
      </c>
      <c r="E123" s="13" t="str">
        <f>VLOOKUP(D:D,工作表2!A:B,2,0)</f>
        <v>華山</v>
      </c>
      <c r="F123" s="13" t="str">
        <f>VLOOKUP(D:D,工作表2!A:C,3,0)</f>
        <v>霧面黑</v>
      </c>
      <c r="G123" s="17">
        <v>10309203</v>
      </c>
      <c r="H123" s="17" t="s">
        <v>542</v>
      </c>
      <c r="I123" s="18" t="s">
        <v>553</v>
      </c>
      <c r="J123" s="15">
        <v>2100</v>
      </c>
      <c r="K123" s="15">
        <v>51</v>
      </c>
      <c r="L123" s="20">
        <f t="shared" si="19"/>
        <v>2.4285714285714285E-2</v>
      </c>
      <c r="M123" s="12">
        <v>47</v>
      </c>
      <c r="N123" s="12">
        <v>4</v>
      </c>
      <c r="P123" s="32" t="s">
        <v>500</v>
      </c>
      <c r="Q123" s="23"/>
      <c r="Y123" s="6"/>
    </row>
    <row r="124" spans="1:25" ht="16.5">
      <c r="A124" s="25">
        <v>46036</v>
      </c>
      <c r="B124" s="29">
        <v>0.66527777777777775</v>
      </c>
      <c r="C124" s="19">
        <v>46038</v>
      </c>
      <c r="D124" s="24" t="str">
        <f t="shared" si="18"/>
        <v>4PW</v>
      </c>
      <c r="E124" s="13" t="str">
        <f>VLOOKUP(D:D,工作表2!A:B,2,0)</f>
        <v>敦陽</v>
      </c>
      <c r="F124" s="13" t="str">
        <f>VLOOKUP(D:D,工作表2!A:C,3,0)</f>
        <v>白</v>
      </c>
      <c r="G124" s="17">
        <v>10310306</v>
      </c>
      <c r="H124" s="17" t="s">
        <v>592</v>
      </c>
      <c r="I124" s="18" t="s">
        <v>600</v>
      </c>
      <c r="J124" s="15">
        <v>72</v>
      </c>
      <c r="K124" s="15">
        <v>2</v>
      </c>
      <c r="L124" s="20">
        <f t="shared" si="19"/>
        <v>2.7777777777777776E-2</v>
      </c>
      <c r="M124" s="12">
        <v>2</v>
      </c>
      <c r="P124" s="32" t="s">
        <v>500</v>
      </c>
      <c r="Q124" s="23"/>
      <c r="Y124" s="6"/>
    </row>
    <row r="125" spans="1:25" ht="16.5">
      <c r="A125" s="25">
        <v>46036</v>
      </c>
      <c r="B125" s="29">
        <v>0.66666666666666663</v>
      </c>
      <c r="C125" s="19">
        <v>46038</v>
      </c>
      <c r="D125" s="24" t="str">
        <f t="shared" si="18"/>
        <v>4PW</v>
      </c>
      <c r="E125" s="13" t="str">
        <f>VLOOKUP(D:D,工作表2!A:B,2,0)</f>
        <v>敦陽</v>
      </c>
      <c r="F125" s="13" t="str">
        <f>VLOOKUP(D:D,工作表2!A:C,3,0)</f>
        <v>白</v>
      </c>
      <c r="G125" s="17">
        <v>10310317</v>
      </c>
      <c r="H125" s="17" t="s">
        <v>597</v>
      </c>
      <c r="I125" s="18" t="s">
        <v>605</v>
      </c>
      <c r="J125" s="15">
        <v>40</v>
      </c>
      <c r="K125" s="15">
        <v>6</v>
      </c>
      <c r="L125" s="20">
        <f t="shared" si="19"/>
        <v>0.15</v>
      </c>
      <c r="M125" s="12">
        <v>5</v>
      </c>
      <c r="N125" s="12">
        <v>1</v>
      </c>
      <c r="P125" s="32" t="s">
        <v>500</v>
      </c>
      <c r="Q125" s="23" t="s">
        <v>964</v>
      </c>
      <c r="Y125" s="6"/>
    </row>
    <row r="126" spans="1:25">
      <c r="A126" s="25">
        <v>46034</v>
      </c>
      <c r="B126" s="29">
        <v>0.55555555555555558</v>
      </c>
      <c r="C126" s="19">
        <v>46038</v>
      </c>
      <c r="D126" s="24" t="str">
        <f t="shared" si="18"/>
        <v>RDR</v>
      </c>
      <c r="E126" s="13" t="str">
        <f>VLOOKUP(D:D,工作表2!A:B,2,0)</f>
        <v>邦善</v>
      </c>
      <c r="F126" s="13" t="str">
        <f>VLOOKUP(D:D,工作表2!A:C,3,0)</f>
        <v>紅</v>
      </c>
      <c r="G126" s="17">
        <v>10305415</v>
      </c>
      <c r="H126" s="17" t="s">
        <v>591</v>
      </c>
      <c r="I126" s="18" t="s">
        <v>599</v>
      </c>
      <c r="J126" s="15">
        <v>360</v>
      </c>
      <c r="K126" s="15">
        <v>82</v>
      </c>
      <c r="L126" s="20">
        <f t="shared" si="19"/>
        <v>0.22777777777777777</v>
      </c>
      <c r="M126" s="12">
        <v>45</v>
      </c>
      <c r="N126" s="12">
        <v>13</v>
      </c>
      <c r="P126" s="32" t="s">
        <v>610</v>
      </c>
      <c r="Q126" s="23" t="s">
        <v>963</v>
      </c>
      <c r="U126" s="12">
        <v>24</v>
      </c>
      <c r="Y126" s="6"/>
    </row>
    <row r="127" spans="1:25" ht="16.5">
      <c r="A127" s="25">
        <v>46030</v>
      </c>
      <c r="B127" s="29">
        <v>0.55972222222222223</v>
      </c>
      <c r="C127" s="19">
        <v>46038</v>
      </c>
      <c r="D127" s="24" t="str">
        <f t="shared" si="18"/>
        <v>NEA</v>
      </c>
      <c r="E127" s="13" t="str">
        <f>VLOOKUP(D:D,工作表2!A:B,2,0)</f>
        <v>邦善</v>
      </c>
      <c r="F127" s="13" t="str">
        <f>VLOOKUP(D:D,工作表2!A:C,3,0)</f>
        <v>灰</v>
      </c>
      <c r="G127" s="17">
        <v>10305444</v>
      </c>
      <c r="H127" s="17" t="s">
        <v>563</v>
      </c>
      <c r="I127" s="18" t="s">
        <v>571</v>
      </c>
      <c r="J127" s="15">
        <v>560</v>
      </c>
      <c r="K127" s="15">
        <v>54</v>
      </c>
      <c r="L127" s="20">
        <f t="shared" si="19"/>
        <v>9.6428571428571433E-2</v>
      </c>
      <c r="M127" s="12">
        <v>40</v>
      </c>
      <c r="N127" s="12">
        <v>14</v>
      </c>
      <c r="P127" s="32" t="s">
        <v>500</v>
      </c>
      <c r="Q127" s="23" t="s">
        <v>963</v>
      </c>
      <c r="Y127" s="6"/>
    </row>
    <row r="128" spans="1:25" ht="16.5">
      <c r="A128" s="25">
        <v>46040</v>
      </c>
      <c r="B128" s="29">
        <v>0.59027777777777779</v>
      </c>
      <c r="C128" s="19">
        <v>46038</v>
      </c>
      <c r="D128" s="24" t="str">
        <f t="shared" si="18"/>
        <v>NEA</v>
      </c>
      <c r="E128" s="13" t="str">
        <f>VLOOKUP(D:D,工作表2!A:B,2,0)</f>
        <v>邦善</v>
      </c>
      <c r="F128" s="13" t="str">
        <f>VLOOKUP(D:D,工作表2!A:C,3,0)</f>
        <v>灰</v>
      </c>
      <c r="G128" s="17">
        <v>10305445</v>
      </c>
      <c r="H128" s="17" t="s">
        <v>595</v>
      </c>
      <c r="I128" s="18" t="s">
        <v>603</v>
      </c>
      <c r="J128" s="15">
        <v>520</v>
      </c>
      <c r="K128" s="15">
        <v>66</v>
      </c>
      <c r="L128" s="20">
        <f t="shared" si="19"/>
        <v>0.12692307692307692</v>
      </c>
      <c r="M128" s="12">
        <v>60</v>
      </c>
      <c r="N128" s="12">
        <v>6</v>
      </c>
      <c r="P128" s="32" t="s">
        <v>500</v>
      </c>
      <c r="Q128" s="23" t="s">
        <v>962</v>
      </c>
      <c r="Y128" s="6"/>
    </row>
    <row r="129" spans="1:25" ht="16.5">
      <c r="A129" s="25">
        <v>46035</v>
      </c>
      <c r="B129" s="29">
        <v>0.59930555555555554</v>
      </c>
      <c r="C129" s="19">
        <v>46038</v>
      </c>
      <c r="D129" s="24" t="str">
        <f t="shared" si="18"/>
        <v>NGW</v>
      </c>
      <c r="E129" s="13" t="str">
        <f>VLOOKUP(D:D,工作表2!A:B,2,0)</f>
        <v>邦善</v>
      </c>
      <c r="F129" s="13" t="str">
        <f>VLOOKUP(D:D,工作表2!A:C,3,0)</f>
        <v>白</v>
      </c>
      <c r="G129" s="17">
        <v>10305448</v>
      </c>
      <c r="H129" s="17" t="s">
        <v>426</v>
      </c>
      <c r="I129" s="18" t="s">
        <v>431</v>
      </c>
      <c r="J129" s="15">
        <v>560</v>
      </c>
      <c r="K129" s="15">
        <v>57</v>
      </c>
      <c r="L129" s="20">
        <f t="shared" si="19"/>
        <v>0.10178571428571428</v>
      </c>
      <c r="M129" s="12">
        <v>36</v>
      </c>
      <c r="N129" s="12">
        <v>21</v>
      </c>
      <c r="P129" s="32" t="s">
        <v>500</v>
      </c>
      <c r="Q129" s="23" t="s">
        <v>963</v>
      </c>
      <c r="Y129" s="6"/>
    </row>
    <row r="130" spans="1:25" ht="16.5">
      <c r="A130" s="25">
        <v>46035</v>
      </c>
      <c r="B130" s="29">
        <v>0.54652777777777783</v>
      </c>
      <c r="C130" s="19">
        <v>46038</v>
      </c>
      <c r="D130" s="24" t="str">
        <f t="shared" si="18"/>
        <v>RRA</v>
      </c>
      <c r="E130" s="13" t="str">
        <f>VLOOKUP(D:D,工作表2!A:B,2,0)</f>
        <v>邦善</v>
      </c>
      <c r="F130" s="13" t="str">
        <f>VLOOKUP(D:D,工作表2!A:C,3,0)</f>
        <v>灰</v>
      </c>
      <c r="G130" s="17">
        <v>10305426</v>
      </c>
      <c r="H130" s="17" t="s">
        <v>393</v>
      </c>
      <c r="I130" s="18" t="s">
        <v>395</v>
      </c>
      <c r="J130" s="15">
        <v>280</v>
      </c>
      <c r="K130" s="15">
        <v>11</v>
      </c>
      <c r="L130" s="20">
        <f t="shared" si="19"/>
        <v>3.9285714285714285E-2</v>
      </c>
      <c r="M130" s="12">
        <v>7</v>
      </c>
      <c r="N130" s="12">
        <v>4</v>
      </c>
      <c r="P130" s="32" t="s">
        <v>500</v>
      </c>
      <c r="Q130" s="23"/>
      <c r="Y130" s="6"/>
    </row>
    <row r="131" spans="1:25" ht="16.5">
      <c r="A131" s="25">
        <v>46035</v>
      </c>
      <c r="B131" s="29">
        <v>0.56388888888888888</v>
      </c>
      <c r="C131" s="19">
        <v>46038</v>
      </c>
      <c r="D131" s="24" t="str">
        <f t="shared" si="18"/>
        <v>SYL</v>
      </c>
      <c r="E131" s="13" t="str">
        <f>VLOOKUP(D:D,工作表2!A:B,2,0)</f>
        <v>邦善</v>
      </c>
      <c r="F131" s="13" t="str">
        <f>VLOOKUP(D:D,工作表2!A:C,3,0)</f>
        <v>藍</v>
      </c>
      <c r="G131" s="17">
        <v>10305427</v>
      </c>
      <c r="H131" s="17" t="s">
        <v>594</v>
      </c>
      <c r="I131" s="18" t="s">
        <v>602</v>
      </c>
      <c r="J131" s="15">
        <v>560</v>
      </c>
      <c r="K131" s="15">
        <v>36</v>
      </c>
      <c r="L131" s="20">
        <f t="shared" si="19"/>
        <v>6.4285714285714279E-2</v>
      </c>
      <c r="M131" s="12">
        <v>28</v>
      </c>
      <c r="N131" s="12">
        <v>8</v>
      </c>
      <c r="P131" s="32" t="s">
        <v>500</v>
      </c>
      <c r="Q131" s="23"/>
      <c r="Y131" s="6"/>
    </row>
    <row r="132" spans="1:25" ht="16.5">
      <c r="A132" s="25">
        <v>46034</v>
      </c>
      <c r="B132" s="29">
        <v>0.59513888888888888</v>
      </c>
      <c r="C132" s="19">
        <v>46038</v>
      </c>
      <c r="D132" s="24" t="str">
        <f t="shared" si="18"/>
        <v>NGW</v>
      </c>
      <c r="E132" s="13" t="str">
        <f>VLOOKUP(D:D,工作表2!A:B,2,0)</f>
        <v>邦善</v>
      </c>
      <c r="F132" s="13" t="str">
        <f>VLOOKUP(D:D,工作表2!A:C,3,0)</f>
        <v>白</v>
      </c>
      <c r="G132" s="17">
        <v>10305452</v>
      </c>
      <c r="H132" s="17" t="s">
        <v>579</v>
      </c>
      <c r="I132" s="18" t="s">
        <v>581</v>
      </c>
      <c r="J132" s="15">
        <v>410</v>
      </c>
      <c r="K132" s="15">
        <v>20</v>
      </c>
      <c r="L132" s="20">
        <f t="shared" si="19"/>
        <v>4.878048780487805E-2</v>
      </c>
      <c r="M132" s="12">
        <v>15</v>
      </c>
      <c r="N132" s="12">
        <v>5</v>
      </c>
      <c r="P132" s="32" t="s">
        <v>500</v>
      </c>
      <c r="Q132" s="23"/>
      <c r="Y132" s="6"/>
    </row>
    <row r="133" spans="1:25" ht="16.5">
      <c r="A133" s="25">
        <v>46034</v>
      </c>
      <c r="B133" s="29">
        <v>0.55069444444444449</v>
      </c>
      <c r="C133" s="19">
        <v>46038</v>
      </c>
      <c r="D133" s="24" t="str">
        <f t="shared" si="18"/>
        <v>NRR</v>
      </c>
      <c r="E133" s="13" t="str">
        <f>VLOOKUP(D:D,工作表2!A:B,2,0)</f>
        <v>邦善</v>
      </c>
      <c r="F133" s="13" t="str">
        <f>VLOOKUP(D:D,工作表2!A:C,3,0)</f>
        <v>紅</v>
      </c>
      <c r="G133" s="17">
        <v>10305424</v>
      </c>
      <c r="H133" s="17" t="s">
        <v>590</v>
      </c>
      <c r="I133" s="18" t="s">
        <v>598</v>
      </c>
      <c r="J133" s="15">
        <v>280</v>
      </c>
      <c r="K133" s="15">
        <v>34</v>
      </c>
      <c r="L133" s="20">
        <f t="shared" si="19"/>
        <v>0.12142857142857143</v>
      </c>
      <c r="M133" s="12">
        <v>30</v>
      </c>
      <c r="N133" s="12">
        <v>4</v>
      </c>
      <c r="P133" s="32" t="s">
        <v>500</v>
      </c>
      <c r="Q133" s="23"/>
      <c r="Y133" s="6"/>
    </row>
    <row r="134" spans="1:25" ht="16.5">
      <c r="A134" s="25">
        <v>46029</v>
      </c>
      <c r="B134" s="29">
        <v>0.62847222222222221</v>
      </c>
      <c r="C134" s="19">
        <v>46038</v>
      </c>
      <c r="D134" s="24" t="str">
        <f t="shared" si="18"/>
        <v>NGW</v>
      </c>
      <c r="E134" s="13" t="str">
        <f>VLOOKUP(D:D,工作表2!A:B,2,0)</f>
        <v>邦善</v>
      </c>
      <c r="F134" s="13" t="str">
        <f>VLOOKUP(D:D,工作表2!A:C,3,0)</f>
        <v>白</v>
      </c>
      <c r="G134" s="17">
        <v>10305450</v>
      </c>
      <c r="H134" s="17" t="s">
        <v>382</v>
      </c>
      <c r="I134" s="18" t="s">
        <v>387</v>
      </c>
      <c r="J134" s="15">
        <v>360</v>
      </c>
      <c r="K134" s="15">
        <v>25</v>
      </c>
      <c r="L134" s="20">
        <f t="shared" si="19"/>
        <v>6.9444444444444448E-2</v>
      </c>
      <c r="M134" s="12">
        <v>22</v>
      </c>
      <c r="N134" s="12">
        <v>3</v>
      </c>
      <c r="P134" s="32" t="s">
        <v>500</v>
      </c>
      <c r="Q134" s="23" t="s">
        <v>963</v>
      </c>
      <c r="Y134" s="6"/>
    </row>
    <row r="135" spans="1:25" ht="16.5">
      <c r="A135" s="25">
        <v>46034</v>
      </c>
      <c r="B135" s="29">
        <v>0.61736111111111114</v>
      </c>
      <c r="C135" s="19">
        <v>46038</v>
      </c>
      <c r="D135" s="24" t="str">
        <f t="shared" si="18"/>
        <v>NGW</v>
      </c>
      <c r="E135" s="13" t="str">
        <f>VLOOKUP(D:D,工作表2!A:B,2,0)</f>
        <v>邦善</v>
      </c>
      <c r="F135" s="13" t="str">
        <f>VLOOKUP(D:D,工作表2!A:C,3,0)</f>
        <v>白</v>
      </c>
      <c r="G135" s="17">
        <v>10305451</v>
      </c>
      <c r="H135" s="17" t="s">
        <v>435</v>
      </c>
      <c r="I135" s="18" t="s">
        <v>437</v>
      </c>
      <c r="J135" s="15">
        <v>360</v>
      </c>
      <c r="K135" s="15">
        <v>10</v>
      </c>
      <c r="L135" s="20">
        <f t="shared" si="19"/>
        <v>2.7777777777777776E-2</v>
      </c>
      <c r="M135" s="12">
        <v>7</v>
      </c>
      <c r="N135" s="12">
        <v>3</v>
      </c>
      <c r="P135" s="32" t="s">
        <v>500</v>
      </c>
      <c r="Q135" s="23" t="s">
        <v>962</v>
      </c>
      <c r="Y135" s="6"/>
    </row>
    <row r="136" spans="1:25" ht="16.5">
      <c r="A136" s="25">
        <v>46034</v>
      </c>
      <c r="B136" s="29">
        <v>0.54722222222222217</v>
      </c>
      <c r="C136" s="19">
        <v>46038</v>
      </c>
      <c r="D136" s="24" t="str">
        <f t="shared" si="18"/>
        <v>NRR</v>
      </c>
      <c r="E136" s="13" t="str">
        <f>VLOOKUP(D:D,工作表2!A:B,2,0)</f>
        <v>邦善</v>
      </c>
      <c r="F136" s="13" t="str">
        <f>VLOOKUP(D:D,工作表2!A:C,3,0)</f>
        <v>紅</v>
      </c>
      <c r="G136" s="17">
        <v>10305428</v>
      </c>
      <c r="H136" s="17" t="s">
        <v>596</v>
      </c>
      <c r="I136" s="18" t="s">
        <v>604</v>
      </c>
      <c r="J136" s="15">
        <v>280</v>
      </c>
      <c r="K136" s="15">
        <v>19</v>
      </c>
      <c r="L136" s="20">
        <f t="shared" si="19"/>
        <v>6.7857142857142852E-2</v>
      </c>
      <c r="M136" s="12">
        <v>12</v>
      </c>
      <c r="N136" s="12">
        <v>7</v>
      </c>
      <c r="P136" s="32" t="s">
        <v>500</v>
      </c>
      <c r="Q136" s="23"/>
      <c r="Y136" s="6"/>
    </row>
    <row r="137" spans="1:25" ht="16.5">
      <c r="A137" s="25">
        <v>46029</v>
      </c>
      <c r="B137" s="29">
        <v>0.53263888888888888</v>
      </c>
      <c r="C137" s="19">
        <v>46038</v>
      </c>
      <c r="D137" s="24" t="str">
        <f t="shared" si="18"/>
        <v>N8B</v>
      </c>
      <c r="E137" s="13" t="str">
        <f>VLOOKUP(D:D,工作表2!A:B,2,0)</f>
        <v>邦善</v>
      </c>
      <c r="F137" s="13" t="str">
        <f>VLOOKUP(D:D,工作表2!A:C,3,0)</f>
        <v>霧面黑</v>
      </c>
      <c r="G137" s="17">
        <v>10309198</v>
      </c>
      <c r="H137" s="17" t="s">
        <v>607</v>
      </c>
      <c r="I137" s="18" t="s">
        <v>609</v>
      </c>
      <c r="J137" s="15">
        <v>804</v>
      </c>
      <c r="K137" s="15">
        <v>104</v>
      </c>
      <c r="L137" s="20">
        <f t="shared" si="19"/>
        <v>0.12935323383084577</v>
      </c>
      <c r="M137" s="12">
        <v>80</v>
      </c>
      <c r="N137" s="12">
        <v>24</v>
      </c>
      <c r="P137" s="32" t="s">
        <v>500</v>
      </c>
      <c r="Q137" s="23" t="s">
        <v>961</v>
      </c>
      <c r="Y137" s="6"/>
    </row>
    <row r="138" spans="1:25" ht="16.5">
      <c r="A138" s="25">
        <v>46029</v>
      </c>
      <c r="B138" s="29">
        <v>0.53263888888888888</v>
      </c>
      <c r="C138" s="19">
        <v>46038</v>
      </c>
      <c r="D138" s="24" t="str">
        <f t="shared" si="18"/>
        <v>N8B</v>
      </c>
      <c r="E138" s="13" t="str">
        <f>VLOOKUP(D:D,工作表2!A:B,2,0)</f>
        <v>邦善</v>
      </c>
      <c r="F138" s="13" t="str">
        <f>VLOOKUP(D:D,工作表2!A:C,3,0)</f>
        <v>霧面黑</v>
      </c>
      <c r="G138" s="17">
        <v>10309227</v>
      </c>
      <c r="H138" s="17" t="s">
        <v>607</v>
      </c>
      <c r="I138" s="18" t="s">
        <v>609</v>
      </c>
      <c r="J138" s="15">
        <v>804</v>
      </c>
      <c r="K138" s="15">
        <v>104</v>
      </c>
      <c r="L138" s="20">
        <f t="shared" si="19"/>
        <v>0.12935323383084577</v>
      </c>
      <c r="M138" s="12">
        <v>65</v>
      </c>
      <c r="N138" s="12">
        <v>39</v>
      </c>
      <c r="P138" s="32" t="s">
        <v>500</v>
      </c>
      <c r="Q138" s="23" t="s">
        <v>961</v>
      </c>
      <c r="Y138" s="6"/>
    </row>
    <row r="139" spans="1:25" ht="16.5">
      <c r="A139" s="25">
        <v>46036</v>
      </c>
      <c r="B139" s="29">
        <v>0.66736111111111107</v>
      </c>
      <c r="C139" s="11">
        <v>46038</v>
      </c>
      <c r="D139" s="24" t="str">
        <f t="shared" si="18"/>
        <v>4PW</v>
      </c>
      <c r="E139" s="13" t="str">
        <f>VLOOKUP(D:D,工作表2!A:B,2,0)</f>
        <v>敦陽</v>
      </c>
      <c r="F139" s="13" t="str">
        <f>VLOOKUP(D:D,工作表2!A:C,3,0)</f>
        <v>白</v>
      </c>
      <c r="G139" s="17">
        <v>10310299</v>
      </c>
      <c r="H139" s="17" t="s">
        <v>593</v>
      </c>
      <c r="I139" s="18" t="s">
        <v>601</v>
      </c>
      <c r="J139" s="15">
        <v>40</v>
      </c>
      <c r="K139" s="15">
        <v>1</v>
      </c>
      <c r="L139" s="20">
        <f t="shared" si="19"/>
        <v>2.5000000000000001E-2</v>
      </c>
      <c r="M139" s="12">
        <v>1</v>
      </c>
      <c r="P139" s="32" t="s">
        <v>500</v>
      </c>
      <c r="Q139" s="23"/>
      <c r="Y139" s="6"/>
    </row>
    <row r="140" spans="1:25" ht="16.5">
      <c r="A140" s="25">
        <v>46035</v>
      </c>
      <c r="B140" s="29">
        <v>0.52430555555555558</v>
      </c>
      <c r="C140" s="11">
        <v>46041</v>
      </c>
      <c r="D140" s="24" t="str">
        <f t="shared" ref="D140:D156" si="20">RIGHT(I140,3)</f>
        <v>PLB</v>
      </c>
      <c r="E140" s="13" t="str">
        <f>VLOOKUP(D:D,工作表2!A:B,2,0)</f>
        <v>邦善</v>
      </c>
      <c r="F140" s="13" t="str">
        <f>VLOOKUP(D:D,工作表2!A:C,3,0)</f>
        <v>霧面黑</v>
      </c>
      <c r="G140" s="17">
        <v>10309221</v>
      </c>
      <c r="H140" s="17" t="s">
        <v>408</v>
      </c>
      <c r="I140" s="48" t="s">
        <v>411</v>
      </c>
      <c r="J140" s="15">
        <v>2660</v>
      </c>
      <c r="K140" s="15">
        <v>86</v>
      </c>
      <c r="L140" s="20">
        <f t="shared" ref="L140:L156" si="21">K140/J140</f>
        <v>3.2330827067669175E-2</v>
      </c>
      <c r="M140" s="12">
        <v>70</v>
      </c>
      <c r="N140" s="12">
        <v>16</v>
      </c>
      <c r="P140" s="32" t="s">
        <v>500</v>
      </c>
      <c r="Q140" s="23"/>
      <c r="Y140" s="6"/>
    </row>
    <row r="141" spans="1:25" ht="16.5">
      <c r="A141" s="25">
        <v>46037</v>
      </c>
      <c r="B141" s="29">
        <v>0.63124999999999998</v>
      </c>
      <c r="C141" s="11">
        <v>46041</v>
      </c>
      <c r="D141" s="24" t="str">
        <f t="shared" si="20"/>
        <v>RZG</v>
      </c>
      <c r="E141" s="13" t="str">
        <f>VLOOKUP(D:D,工作表2!A:B,2,0)</f>
        <v>邦善</v>
      </c>
      <c r="F141" s="13" t="str">
        <f>VLOOKUP(D:D,工作表2!A:C,3,0)</f>
        <v>綠</v>
      </c>
      <c r="G141" s="17">
        <v>10309319</v>
      </c>
      <c r="H141" s="17" t="s">
        <v>406</v>
      </c>
      <c r="I141" s="18" t="s">
        <v>409</v>
      </c>
      <c r="J141" s="15">
        <v>2394</v>
      </c>
      <c r="K141" s="15">
        <v>92</v>
      </c>
      <c r="L141" s="20">
        <f t="shared" si="21"/>
        <v>3.842940685045948E-2</v>
      </c>
      <c r="M141" s="12">
        <v>72</v>
      </c>
      <c r="N141" s="12">
        <v>20</v>
      </c>
      <c r="P141" s="32" t="s">
        <v>500</v>
      </c>
      <c r="Q141" s="23"/>
      <c r="Y141" s="6"/>
    </row>
    <row r="142" spans="1:25" ht="16.5">
      <c r="A142" s="25">
        <v>46038</v>
      </c>
      <c r="B142" s="29">
        <v>0.39374999999999999</v>
      </c>
      <c r="C142" s="19">
        <v>46041</v>
      </c>
      <c r="D142" s="24" t="str">
        <f t="shared" si="20"/>
        <v>S3B</v>
      </c>
      <c r="E142" s="13" t="str">
        <f>VLOOKUP(D:D,工作表2!A:B,2,0)</f>
        <v>邦善</v>
      </c>
      <c r="F142" s="13" t="str">
        <f>VLOOKUP(D:D,工作表2!A:C,3,0)</f>
        <v>黑</v>
      </c>
      <c r="G142" s="17">
        <v>10309307</v>
      </c>
      <c r="H142" s="17" t="s">
        <v>375</v>
      </c>
      <c r="I142" s="18" t="s">
        <v>379</v>
      </c>
      <c r="J142" s="15">
        <v>5852</v>
      </c>
      <c r="K142" s="15">
        <v>455</v>
      </c>
      <c r="L142" s="20">
        <f t="shared" si="21"/>
        <v>7.7751196172248807E-2</v>
      </c>
      <c r="M142" s="12">
        <v>330</v>
      </c>
      <c r="N142" s="12">
        <v>125</v>
      </c>
      <c r="P142" s="32" t="s">
        <v>500</v>
      </c>
      <c r="Q142" s="23"/>
      <c r="Y142" s="6"/>
    </row>
    <row r="143" spans="1:25" ht="16.5">
      <c r="A143" s="25">
        <v>46037</v>
      </c>
      <c r="B143" s="29">
        <v>0.62083333333333335</v>
      </c>
      <c r="C143" s="19">
        <v>46041</v>
      </c>
      <c r="D143" s="24" t="str">
        <f t="shared" si="20"/>
        <v>S8A</v>
      </c>
      <c r="E143" s="13" t="str">
        <f>VLOOKUP(D:D,工作表2!A:B,2,0)</f>
        <v>邦善</v>
      </c>
      <c r="F143" s="13" t="str">
        <f>VLOOKUP(D:D,工作表2!A:C,3,0)</f>
        <v>灰</v>
      </c>
      <c r="G143" s="17">
        <v>10309320</v>
      </c>
      <c r="H143" s="17" t="s">
        <v>612</v>
      </c>
      <c r="I143" s="18" t="s">
        <v>622</v>
      </c>
      <c r="J143" s="15">
        <v>2128</v>
      </c>
      <c r="K143" s="15">
        <v>78</v>
      </c>
      <c r="L143" s="20">
        <f t="shared" si="21"/>
        <v>3.6654135338345863E-2</v>
      </c>
      <c r="M143" s="12">
        <v>60</v>
      </c>
      <c r="N143" s="12">
        <v>18</v>
      </c>
      <c r="P143" s="32" t="s">
        <v>500</v>
      </c>
      <c r="Q143" s="23"/>
      <c r="Y143" s="6"/>
    </row>
    <row r="144" spans="1:25" ht="16.5">
      <c r="A144" s="25">
        <v>46038</v>
      </c>
      <c r="B144" s="29">
        <v>0.41388888888888892</v>
      </c>
      <c r="C144" s="19">
        <v>46041</v>
      </c>
      <c r="D144" s="24" t="str">
        <f t="shared" si="20"/>
        <v>SAA</v>
      </c>
      <c r="E144" s="13" t="str">
        <f>VLOOKUP(D:D,工作表2!A:B,2,0)</f>
        <v>邦善</v>
      </c>
      <c r="F144" s="13" t="str">
        <f>VLOOKUP(D:D,工作表2!A:C,3,0)</f>
        <v>灰</v>
      </c>
      <c r="G144" s="17">
        <v>10309321</v>
      </c>
      <c r="H144" s="17" t="s">
        <v>619</v>
      </c>
      <c r="I144" s="18" t="s">
        <v>628</v>
      </c>
      <c r="J144" s="15">
        <v>1862</v>
      </c>
      <c r="K144" s="15">
        <v>92</v>
      </c>
      <c r="L144" s="20">
        <f t="shared" si="21"/>
        <v>4.9409237379162189E-2</v>
      </c>
      <c r="M144" s="12">
        <v>62</v>
      </c>
      <c r="N144" s="12">
        <v>30</v>
      </c>
      <c r="P144" s="32" t="s">
        <v>500</v>
      </c>
      <c r="Q144" s="23"/>
      <c r="Y144" s="6"/>
    </row>
    <row r="145" spans="1:25">
      <c r="A145" s="25">
        <v>46038</v>
      </c>
      <c r="B145" s="29">
        <v>0.42430555555555555</v>
      </c>
      <c r="C145" s="19">
        <v>46041</v>
      </c>
      <c r="D145" s="24" t="str">
        <f t="shared" si="20"/>
        <v>TUR</v>
      </c>
      <c r="E145" s="13" t="str">
        <f>VLOOKUP(D:D,工作表2!A:B,2,0)</f>
        <v>邦善</v>
      </c>
      <c r="F145" s="13" t="str">
        <f>VLOOKUP(D:D,工作表2!A:C,3,0)</f>
        <v>紅</v>
      </c>
      <c r="G145" s="17">
        <v>10309318</v>
      </c>
      <c r="H145" s="17" t="s">
        <v>611</v>
      </c>
      <c r="I145" s="18" t="s">
        <v>621</v>
      </c>
      <c r="J145" s="15">
        <v>1596</v>
      </c>
      <c r="K145" s="15">
        <v>366</v>
      </c>
      <c r="L145" s="20">
        <f t="shared" si="21"/>
        <v>0.22932330827067668</v>
      </c>
      <c r="M145" s="12">
        <v>97</v>
      </c>
      <c r="N145" s="12">
        <v>3</v>
      </c>
      <c r="P145" s="32" t="s">
        <v>629</v>
      </c>
      <c r="Q145" s="23"/>
      <c r="V145" s="15">
        <v>266</v>
      </c>
      <c r="Y145" s="6"/>
    </row>
    <row r="146" spans="1:25" ht="16.5">
      <c r="A146" s="25">
        <v>46038</v>
      </c>
      <c r="B146" s="29">
        <v>0.4201388888888889</v>
      </c>
      <c r="C146" s="19">
        <v>46041</v>
      </c>
      <c r="D146" s="24" t="str">
        <f t="shared" si="20"/>
        <v>XJL</v>
      </c>
      <c r="E146" s="13" t="str">
        <f>VLOOKUP(D:D,工作表2!A:B,2,0)</f>
        <v>邦善</v>
      </c>
      <c r="F146" s="13" t="str">
        <f>VLOOKUP(D:D,工作表2!A:C,3,0)</f>
        <v>藍</v>
      </c>
      <c r="G146" s="17">
        <v>10309334</v>
      </c>
      <c r="H146" s="17" t="s">
        <v>615</v>
      </c>
      <c r="I146" s="18" t="s">
        <v>624</v>
      </c>
      <c r="J146" s="15">
        <v>266</v>
      </c>
      <c r="K146" s="15">
        <v>1</v>
      </c>
      <c r="L146" s="20">
        <f t="shared" si="21"/>
        <v>3.7593984962406013E-3</v>
      </c>
      <c r="M146" s="12">
        <v>1</v>
      </c>
      <c r="P146" s="32" t="s">
        <v>500</v>
      </c>
      <c r="Q146" s="23"/>
      <c r="Y146" s="6"/>
    </row>
    <row r="147" spans="1:25" ht="16.5">
      <c r="A147" s="25">
        <v>46037</v>
      </c>
      <c r="B147" s="29">
        <v>0.64236111111111105</v>
      </c>
      <c r="C147" s="19">
        <v>46041</v>
      </c>
      <c r="D147" s="24" t="str">
        <f t="shared" si="20"/>
        <v>WZL</v>
      </c>
      <c r="E147" s="13" t="str">
        <f>VLOOKUP(D:D,工作表2!A:B,2,0)</f>
        <v>邦善</v>
      </c>
      <c r="F147" s="13" t="str">
        <f>VLOOKUP(D:D,工作表2!A:C,3,0)</f>
        <v>銀</v>
      </c>
      <c r="G147" s="17">
        <v>10309433</v>
      </c>
      <c r="H147" s="17" t="s">
        <v>450</v>
      </c>
      <c r="I147" s="18" t="s">
        <v>452</v>
      </c>
      <c r="J147" s="15">
        <v>798</v>
      </c>
      <c r="K147" s="15">
        <v>132</v>
      </c>
      <c r="L147" s="20">
        <f t="shared" si="21"/>
        <v>0.16541353383458646</v>
      </c>
      <c r="M147" s="12">
        <v>82</v>
      </c>
      <c r="N147" s="12">
        <v>50</v>
      </c>
      <c r="P147" s="32" t="s">
        <v>500</v>
      </c>
      <c r="Q147" s="23"/>
      <c r="Y147" s="6"/>
    </row>
    <row r="148" spans="1:25" ht="16.5">
      <c r="A148" s="25">
        <v>46038</v>
      </c>
      <c r="B148" s="29">
        <v>0.4694444444444445</v>
      </c>
      <c r="C148" s="19">
        <v>46041</v>
      </c>
      <c r="D148" s="24" t="str">
        <f t="shared" si="20"/>
        <v>X7W</v>
      </c>
      <c r="E148" s="13" t="str">
        <f>VLOOKUP(D:D,工作表2!A:B,2,0)</f>
        <v>邦善</v>
      </c>
      <c r="F148" s="13" t="str">
        <f>VLOOKUP(D:D,工作表2!A:C,3,0)</f>
        <v>白</v>
      </c>
      <c r="G148" s="17">
        <v>10309338</v>
      </c>
      <c r="H148" s="17" t="s">
        <v>617</v>
      </c>
      <c r="I148" s="18" t="s">
        <v>626</v>
      </c>
      <c r="J148" s="15">
        <v>798</v>
      </c>
      <c r="K148" s="15">
        <v>63</v>
      </c>
      <c r="L148" s="20">
        <f t="shared" si="21"/>
        <v>7.8947368421052627E-2</v>
      </c>
      <c r="M148" s="12">
        <v>57</v>
      </c>
      <c r="N148" s="12">
        <v>6</v>
      </c>
      <c r="P148" s="32" t="s">
        <v>500</v>
      </c>
      <c r="Q148" s="23"/>
      <c r="Y148" s="6"/>
    </row>
    <row r="149" spans="1:25" ht="16.5">
      <c r="A149" s="25">
        <v>46038</v>
      </c>
      <c r="B149" s="29">
        <v>0.42083333333333334</v>
      </c>
      <c r="C149" s="19">
        <v>46041</v>
      </c>
      <c r="D149" s="24" t="str">
        <f t="shared" si="20"/>
        <v>X8A</v>
      </c>
      <c r="E149" s="13" t="str">
        <f>VLOOKUP(D:D,工作表2!A:B,2,0)</f>
        <v>邦善</v>
      </c>
      <c r="F149" s="13" t="str">
        <f>VLOOKUP(D:D,工作表2!A:C,3,0)</f>
        <v>灰</v>
      </c>
      <c r="G149" s="17">
        <v>10309310</v>
      </c>
      <c r="H149" s="17" t="s">
        <v>616</v>
      </c>
      <c r="I149" s="18" t="s">
        <v>625</v>
      </c>
      <c r="J149" s="15">
        <v>798</v>
      </c>
      <c r="K149" s="15">
        <v>209</v>
      </c>
      <c r="L149" s="20">
        <f t="shared" si="21"/>
        <v>0.26190476190476192</v>
      </c>
      <c r="M149" s="12">
        <v>182</v>
      </c>
      <c r="N149" s="12">
        <v>27</v>
      </c>
      <c r="P149" s="32" t="s">
        <v>500</v>
      </c>
      <c r="Q149" s="23"/>
      <c r="Y149" s="6"/>
    </row>
    <row r="150" spans="1:25" ht="16.5">
      <c r="A150" s="25">
        <v>46038</v>
      </c>
      <c r="B150" s="29">
        <v>0.43055555555555558</v>
      </c>
      <c r="C150" s="19">
        <v>46041</v>
      </c>
      <c r="D150" s="24" t="str">
        <f t="shared" si="20"/>
        <v>XNA</v>
      </c>
      <c r="E150" s="13" t="str">
        <f>VLOOKUP(D:D,工作表2!A:B,2,0)</f>
        <v>邦善</v>
      </c>
      <c r="F150" s="13" t="str">
        <f>VLOOKUP(D:D,工作表2!A:C,3,0)</f>
        <v>霧面灰</v>
      </c>
      <c r="G150" s="17">
        <v>10309371</v>
      </c>
      <c r="H150" s="17" t="s">
        <v>618</v>
      </c>
      <c r="I150" s="18" t="s">
        <v>627</v>
      </c>
      <c r="J150" s="15">
        <v>798</v>
      </c>
      <c r="K150" s="15">
        <v>21</v>
      </c>
      <c r="L150" s="20">
        <f t="shared" si="21"/>
        <v>2.6315789473684209E-2</v>
      </c>
      <c r="M150" s="12">
        <v>18</v>
      </c>
      <c r="N150" s="12">
        <v>3</v>
      </c>
      <c r="P150" s="32" t="s">
        <v>500</v>
      </c>
      <c r="Q150" s="23"/>
      <c r="Y150" s="6"/>
    </row>
    <row r="151" spans="1:25" ht="16.5">
      <c r="A151" s="25">
        <v>46037</v>
      </c>
      <c r="B151" s="29">
        <v>0.60069444444444442</v>
      </c>
      <c r="C151" s="19">
        <v>46041</v>
      </c>
      <c r="D151" s="24" t="str">
        <f t="shared" si="20"/>
        <v>78A</v>
      </c>
      <c r="E151" s="13" t="str">
        <f>VLOOKUP(D:D,工作表2!A:B,2,0)</f>
        <v>敦陽</v>
      </c>
      <c r="F151" s="13" t="str">
        <f>VLOOKUP(D:D,工作表2!A:C,3,0)</f>
        <v>灰</v>
      </c>
      <c r="G151" s="17">
        <v>10310330</v>
      </c>
      <c r="H151" s="17" t="s">
        <v>413</v>
      </c>
      <c r="I151" s="18" t="s">
        <v>415</v>
      </c>
      <c r="J151" s="15">
        <v>72</v>
      </c>
      <c r="K151" s="15">
        <v>10</v>
      </c>
      <c r="L151" s="20">
        <f t="shared" si="21"/>
        <v>0.1388888888888889</v>
      </c>
      <c r="M151" s="12">
        <v>7</v>
      </c>
      <c r="N151" s="12">
        <v>3</v>
      </c>
      <c r="P151" s="32" t="s">
        <v>500</v>
      </c>
      <c r="Q151" s="23"/>
      <c r="Y151" s="6"/>
    </row>
    <row r="152" spans="1:25" ht="16.5">
      <c r="A152" s="25">
        <v>46034</v>
      </c>
      <c r="B152" s="29">
        <v>0.58750000000000002</v>
      </c>
      <c r="C152" s="19">
        <v>46041</v>
      </c>
      <c r="D152" s="24" t="str">
        <f t="shared" si="20"/>
        <v>WXL</v>
      </c>
      <c r="E152" s="13" t="str">
        <f>VLOOKUP(D:D,工作表2!A:B,2,0)</f>
        <v>邦善</v>
      </c>
      <c r="F152" s="13" t="str">
        <f>VLOOKUP(D:D,工作表2!A:C,3,0)</f>
        <v>藍</v>
      </c>
      <c r="G152" s="17">
        <v>10305418</v>
      </c>
      <c r="H152" s="17" t="s">
        <v>614</v>
      </c>
      <c r="I152" s="18" t="s">
        <v>623</v>
      </c>
      <c r="J152" s="15">
        <v>240</v>
      </c>
      <c r="K152" s="15">
        <v>28</v>
      </c>
      <c r="L152" s="20">
        <f t="shared" si="21"/>
        <v>0.11666666666666667</v>
      </c>
      <c r="M152" s="12">
        <v>24</v>
      </c>
      <c r="N152" s="12">
        <v>4</v>
      </c>
      <c r="P152" s="32" t="s">
        <v>500</v>
      </c>
      <c r="Q152" s="23" t="s">
        <v>963</v>
      </c>
      <c r="Y152" s="6"/>
    </row>
    <row r="153" spans="1:25" ht="16.5">
      <c r="A153" s="25">
        <v>46035</v>
      </c>
      <c r="C153" s="19">
        <v>46041</v>
      </c>
      <c r="D153" s="24" t="str">
        <f t="shared" si="20"/>
        <v>NGW</v>
      </c>
      <c r="E153" s="13" t="str">
        <f>VLOOKUP(D:D,工作表2!A:B,2,0)</f>
        <v>邦善</v>
      </c>
      <c r="F153" s="13" t="str">
        <f>VLOOKUP(D:D,工作表2!A:C,3,0)</f>
        <v>白</v>
      </c>
      <c r="G153" s="17">
        <v>10305425</v>
      </c>
      <c r="H153" s="17" t="s">
        <v>372</v>
      </c>
      <c r="I153" s="18" t="s">
        <v>373</v>
      </c>
      <c r="J153" s="15">
        <v>1080</v>
      </c>
      <c r="K153" s="15">
        <v>93</v>
      </c>
      <c r="L153" s="20">
        <f t="shared" si="21"/>
        <v>8.611111111111111E-2</v>
      </c>
      <c r="M153" s="12">
        <v>65</v>
      </c>
      <c r="N153" s="12">
        <v>28</v>
      </c>
      <c r="P153" s="32" t="s">
        <v>500</v>
      </c>
      <c r="Q153" s="23"/>
      <c r="Y153" s="6"/>
    </row>
    <row r="154" spans="1:25" ht="16.5">
      <c r="A154" s="25">
        <v>46036</v>
      </c>
      <c r="B154" s="29">
        <v>0.61111111111111105</v>
      </c>
      <c r="C154" s="19">
        <v>46041</v>
      </c>
      <c r="D154" s="24" t="str">
        <f t="shared" si="20"/>
        <v>NGW</v>
      </c>
      <c r="E154" s="13" t="str">
        <f>VLOOKUP(D:D,工作表2!A:B,2,0)</f>
        <v>邦善</v>
      </c>
      <c r="F154" s="13" t="str">
        <f>VLOOKUP(D:D,工作表2!A:C,3,0)</f>
        <v>白</v>
      </c>
      <c r="G154" s="17">
        <v>10305461</v>
      </c>
      <c r="H154" s="17" t="s">
        <v>385</v>
      </c>
      <c r="I154" s="18" t="s">
        <v>390</v>
      </c>
      <c r="J154" s="15">
        <v>840</v>
      </c>
      <c r="K154" s="15">
        <v>76</v>
      </c>
      <c r="L154" s="20">
        <f t="shared" si="21"/>
        <v>9.0476190476190474E-2</v>
      </c>
      <c r="M154" s="12">
        <v>60</v>
      </c>
      <c r="N154" s="12">
        <v>16</v>
      </c>
      <c r="P154" s="32" t="s">
        <v>500</v>
      </c>
      <c r="Q154" s="23"/>
      <c r="Y154" s="6"/>
    </row>
    <row r="155" spans="1:25" ht="16.5">
      <c r="A155" s="25">
        <v>46038</v>
      </c>
      <c r="B155" s="29">
        <v>0.3840277777777778</v>
      </c>
      <c r="C155" s="19">
        <v>46041</v>
      </c>
      <c r="D155" s="24" t="str">
        <f t="shared" si="20"/>
        <v>Q9B</v>
      </c>
      <c r="E155" s="13" t="str">
        <f>VLOOKUP(D:D,工作表2!A:B,2,0)</f>
        <v>邦善</v>
      </c>
      <c r="F155" s="13" t="str">
        <f>VLOOKUP(D:D,工作表2!A:C,3,0)</f>
        <v>黑</v>
      </c>
      <c r="G155" s="17">
        <v>10312745</v>
      </c>
      <c r="H155" s="17" t="s">
        <v>513</v>
      </c>
      <c r="I155" s="18" t="s">
        <v>525</v>
      </c>
      <c r="J155" s="15">
        <v>320</v>
      </c>
      <c r="K155" s="15">
        <v>44</v>
      </c>
      <c r="L155" s="20">
        <f t="shared" si="21"/>
        <v>0.13750000000000001</v>
      </c>
      <c r="M155" s="12">
        <v>30</v>
      </c>
      <c r="N155" s="12">
        <v>14</v>
      </c>
      <c r="P155" s="32" t="s">
        <v>500</v>
      </c>
      <c r="Q155" s="23" t="s">
        <v>962</v>
      </c>
      <c r="Y155" s="6"/>
    </row>
    <row r="156" spans="1:25" ht="16.5">
      <c r="A156" s="25">
        <v>46037</v>
      </c>
      <c r="B156" s="29">
        <v>0.58333333333333337</v>
      </c>
      <c r="C156" s="19">
        <v>46041</v>
      </c>
      <c r="D156" s="24" t="str">
        <f t="shared" si="20"/>
        <v>N8B</v>
      </c>
      <c r="E156" s="13" t="str">
        <f>VLOOKUP(D:D,工作表2!A:B,2,0)</f>
        <v>邦善</v>
      </c>
      <c r="F156" s="13" t="str">
        <f>VLOOKUP(D:D,工作表2!A:C,3,0)</f>
        <v>霧面黑</v>
      </c>
      <c r="G156" s="17">
        <v>10309333</v>
      </c>
      <c r="H156" s="17" t="s">
        <v>613</v>
      </c>
      <c r="I156" s="18" t="s">
        <v>620</v>
      </c>
      <c r="J156" s="15">
        <v>536</v>
      </c>
      <c r="K156" s="15">
        <v>71</v>
      </c>
      <c r="L156" s="20">
        <f t="shared" si="21"/>
        <v>0.13246268656716417</v>
      </c>
      <c r="M156" s="12">
        <v>53</v>
      </c>
      <c r="N156" s="12">
        <v>18</v>
      </c>
      <c r="P156" s="32" t="s">
        <v>500</v>
      </c>
      <c r="Q156" s="23" t="s">
        <v>961</v>
      </c>
      <c r="Y156" s="6"/>
    </row>
    <row r="157" spans="1:25" ht="16.5">
      <c r="A157" s="25">
        <v>46037</v>
      </c>
      <c r="B157" s="29">
        <v>0.3923611111111111</v>
      </c>
      <c r="C157" s="11">
        <v>46042</v>
      </c>
      <c r="D157" s="24" t="str">
        <f t="shared" ref="D157:D168" si="22">RIGHT(I157,3)</f>
        <v>QRB</v>
      </c>
      <c r="E157" s="13" t="str">
        <f>VLOOKUP(D:D,工作表2!A:B,2,0)</f>
        <v>邦善</v>
      </c>
      <c r="F157" s="13" t="str">
        <f>VLOOKUP(D:D,工作表2!A:C,3,0)</f>
        <v>霧面黑</v>
      </c>
      <c r="G157" s="17">
        <v>10309288</v>
      </c>
      <c r="H157" s="17" t="s">
        <v>170</v>
      </c>
      <c r="I157" s="18" t="s">
        <v>171</v>
      </c>
      <c r="J157" s="15">
        <v>12768</v>
      </c>
      <c r="K157" s="15">
        <v>809</v>
      </c>
      <c r="L157" s="20">
        <f t="shared" ref="L157:L168" si="23">K157/J157</f>
        <v>6.3361528822055133E-2</v>
      </c>
      <c r="M157" s="12">
        <v>429</v>
      </c>
      <c r="N157" s="12">
        <v>345</v>
      </c>
      <c r="O157" s="15">
        <v>35</v>
      </c>
      <c r="P157" s="32" t="s">
        <v>500</v>
      </c>
      <c r="Q157" s="23"/>
      <c r="Y157" s="6"/>
    </row>
    <row r="158" spans="1:25" ht="16.5">
      <c r="A158" s="25">
        <v>46041</v>
      </c>
      <c r="B158" s="29">
        <v>0.39097222222222222</v>
      </c>
      <c r="C158" s="11">
        <v>46042</v>
      </c>
      <c r="D158" s="24" t="str">
        <f t="shared" si="22"/>
        <v>QRB</v>
      </c>
      <c r="E158" s="13" t="str">
        <f>VLOOKUP(D:D,工作表2!A:B,2,0)</f>
        <v>邦善</v>
      </c>
      <c r="F158" s="13" t="str">
        <f>VLOOKUP(D:D,工作表2!A:C,3,0)</f>
        <v>霧面黑</v>
      </c>
      <c r="G158" s="17">
        <v>10309289</v>
      </c>
      <c r="H158" s="17" t="s">
        <v>170</v>
      </c>
      <c r="I158" s="18" t="s">
        <v>171</v>
      </c>
      <c r="J158" s="15">
        <v>25802</v>
      </c>
      <c r="K158" s="15">
        <v>970</v>
      </c>
      <c r="L158" s="20">
        <f t="shared" si="23"/>
        <v>3.7593984962406013E-2</v>
      </c>
      <c r="M158" s="12">
        <v>845</v>
      </c>
      <c r="N158" s="12">
        <v>112</v>
      </c>
      <c r="O158" s="15">
        <v>13</v>
      </c>
      <c r="P158" s="32" t="s">
        <v>500</v>
      </c>
      <c r="Q158" s="23"/>
      <c r="Y158" s="6"/>
    </row>
    <row r="159" spans="1:25" ht="16.5">
      <c r="A159" s="25">
        <v>46038</v>
      </c>
      <c r="B159" s="29">
        <v>0.4381944444444445</v>
      </c>
      <c r="C159" s="19">
        <v>46042</v>
      </c>
      <c r="D159" s="24" t="str">
        <f t="shared" si="22"/>
        <v>QUW</v>
      </c>
      <c r="E159" s="13" t="str">
        <f>VLOOKUP(D:D,工作表2!A:B,2,0)</f>
        <v>邦善</v>
      </c>
      <c r="F159" s="13" t="str">
        <f>VLOOKUP(D:D,工作表2!A:C,3,0)</f>
        <v>白</v>
      </c>
      <c r="G159" s="17">
        <v>10309301</v>
      </c>
      <c r="H159" s="17" t="s">
        <v>634</v>
      </c>
      <c r="I159" s="18" t="s">
        <v>640</v>
      </c>
      <c r="J159" s="15">
        <v>6118</v>
      </c>
      <c r="K159" s="15">
        <v>235</v>
      </c>
      <c r="L159" s="20">
        <f t="shared" si="23"/>
        <v>3.8411245505067013E-2</v>
      </c>
      <c r="M159" s="12">
        <v>150</v>
      </c>
      <c r="N159" s="12">
        <v>85</v>
      </c>
      <c r="P159" s="32" t="s">
        <v>500</v>
      </c>
      <c r="Q159" s="23"/>
      <c r="Y159" s="6"/>
    </row>
    <row r="160" spans="1:25" ht="16.5">
      <c r="A160" s="25">
        <v>46036</v>
      </c>
      <c r="B160" s="29">
        <v>0.38055555555555554</v>
      </c>
      <c r="C160" s="19">
        <v>46042</v>
      </c>
      <c r="D160" s="24" t="str">
        <f t="shared" si="22"/>
        <v>VKB</v>
      </c>
      <c r="E160" s="13" t="str">
        <f>VLOOKUP(D:D,工作表2!A:B,2,0)</f>
        <v>華山</v>
      </c>
      <c r="F160" s="13" t="str">
        <f>VLOOKUP(D:D,工作表2!A:C,3,0)</f>
        <v>霧面黑</v>
      </c>
      <c r="G160" s="17">
        <v>10312268</v>
      </c>
      <c r="H160" s="17" t="s">
        <v>542</v>
      </c>
      <c r="I160" s="18" t="s">
        <v>553</v>
      </c>
      <c r="J160" s="15">
        <v>1400</v>
      </c>
      <c r="K160" s="15">
        <v>84</v>
      </c>
      <c r="L160" s="20">
        <f t="shared" si="23"/>
        <v>0.06</v>
      </c>
      <c r="M160" s="12">
        <v>71</v>
      </c>
      <c r="N160" s="12">
        <v>13</v>
      </c>
      <c r="P160" s="32" t="s">
        <v>500</v>
      </c>
      <c r="Q160" s="23"/>
      <c r="Y160" s="6"/>
    </row>
    <row r="161" spans="1:25" ht="16.5">
      <c r="A161" s="25">
        <v>46041</v>
      </c>
      <c r="B161" s="29">
        <v>0.63402777777777775</v>
      </c>
      <c r="C161" s="19">
        <v>46042</v>
      </c>
      <c r="D161" s="24" t="str">
        <f t="shared" si="22"/>
        <v>WNS</v>
      </c>
      <c r="E161" s="13" t="str">
        <f>VLOOKUP(D:D,工作表2!A:B,2,0)</f>
        <v>邦善</v>
      </c>
      <c r="F161" s="13" t="str">
        <f>VLOOKUP(D:D,工作表2!A:C,3,0)</f>
        <v>銀</v>
      </c>
      <c r="G161" s="17">
        <v>10312743</v>
      </c>
      <c r="H161" s="17" t="s">
        <v>436</v>
      </c>
      <c r="I161" s="18" t="s">
        <v>438</v>
      </c>
      <c r="J161" s="15">
        <v>80</v>
      </c>
      <c r="K161" s="15">
        <v>14</v>
      </c>
      <c r="L161" s="20">
        <f t="shared" si="23"/>
        <v>0.17499999999999999</v>
      </c>
      <c r="M161" s="12">
        <v>12</v>
      </c>
      <c r="N161" s="12">
        <v>2</v>
      </c>
      <c r="P161" s="32" t="s">
        <v>500</v>
      </c>
      <c r="Q161" s="23" t="s">
        <v>964</v>
      </c>
      <c r="Y161" s="6"/>
    </row>
    <row r="162" spans="1:25" ht="16.5">
      <c r="A162" s="25">
        <v>46036</v>
      </c>
      <c r="B162" s="29">
        <v>0.5625</v>
      </c>
      <c r="C162" s="19">
        <v>46042</v>
      </c>
      <c r="D162" s="24" t="str">
        <f t="shared" si="22"/>
        <v>NQB</v>
      </c>
      <c r="E162" s="13" t="str">
        <f>VLOOKUP(D:D,工作表2!A:B,2,0)</f>
        <v>邦善</v>
      </c>
      <c r="F162" s="13" t="str">
        <f>VLOOKUP(D:D,工作表2!A:C,3,0)</f>
        <v>黑</v>
      </c>
      <c r="G162" s="17">
        <v>10305446</v>
      </c>
      <c r="H162" s="17" t="s">
        <v>635</v>
      </c>
      <c r="I162" s="18" t="s">
        <v>641</v>
      </c>
      <c r="J162" s="15">
        <v>440</v>
      </c>
      <c r="K162" s="15">
        <v>47</v>
      </c>
      <c r="L162" s="20">
        <f t="shared" si="23"/>
        <v>0.10681818181818181</v>
      </c>
      <c r="M162" s="12">
        <v>33</v>
      </c>
      <c r="N162" s="12">
        <v>14</v>
      </c>
      <c r="P162" s="32" t="s">
        <v>500</v>
      </c>
      <c r="Q162" s="23" t="s">
        <v>962</v>
      </c>
      <c r="Y162" s="6"/>
    </row>
    <row r="163" spans="1:25" ht="16.5">
      <c r="A163" s="25">
        <v>46036</v>
      </c>
      <c r="B163" s="29">
        <v>0.63472222222222219</v>
      </c>
      <c r="C163" s="19">
        <v>46042</v>
      </c>
      <c r="D163" s="24" t="str">
        <f t="shared" si="22"/>
        <v>NGW</v>
      </c>
      <c r="E163" s="13" t="str">
        <f>VLOOKUP(D:D,工作表2!A:B,2,0)</f>
        <v>邦善</v>
      </c>
      <c r="F163" s="13" t="str">
        <f>VLOOKUP(D:D,工作表2!A:C,3,0)</f>
        <v>白</v>
      </c>
      <c r="G163" s="17">
        <v>10305460</v>
      </c>
      <c r="H163" s="17" t="s">
        <v>386</v>
      </c>
      <c r="I163" s="18" t="s">
        <v>391</v>
      </c>
      <c r="J163" s="15">
        <v>560</v>
      </c>
      <c r="K163" s="15">
        <v>29</v>
      </c>
      <c r="L163" s="20">
        <f t="shared" si="23"/>
        <v>5.1785714285714289E-2</v>
      </c>
      <c r="M163" s="12">
        <v>23</v>
      </c>
      <c r="N163" s="12">
        <v>6</v>
      </c>
      <c r="P163" s="32" t="s">
        <v>500</v>
      </c>
      <c r="Q163" s="23"/>
      <c r="Y163" s="6"/>
    </row>
    <row r="164" spans="1:25" ht="16.5">
      <c r="A164" s="25">
        <v>46041</v>
      </c>
      <c r="B164" s="29">
        <v>0.55486111111111114</v>
      </c>
      <c r="C164" s="19">
        <v>46042</v>
      </c>
      <c r="D164" s="24" t="str">
        <f t="shared" si="22"/>
        <v>QFA</v>
      </c>
      <c r="E164" s="13" t="str">
        <f>VLOOKUP(D:D,工作表2!A:B,2,0)</f>
        <v>邦善</v>
      </c>
      <c r="F164" s="13" t="str">
        <f>VLOOKUP(D:D,工作表2!A:C,3,0)</f>
        <v>灰</v>
      </c>
      <c r="G164" s="17">
        <v>10311417</v>
      </c>
      <c r="H164" s="17" t="s">
        <v>630</v>
      </c>
      <c r="I164" s="18" t="s">
        <v>636</v>
      </c>
      <c r="J164" s="15">
        <v>240</v>
      </c>
      <c r="K164" s="15">
        <v>23</v>
      </c>
      <c r="L164" s="20">
        <f t="shared" si="23"/>
        <v>9.583333333333334E-2</v>
      </c>
      <c r="M164" s="12">
        <v>18</v>
      </c>
      <c r="N164" s="12">
        <v>5</v>
      </c>
      <c r="P164" s="32" t="s">
        <v>500</v>
      </c>
      <c r="Q164" s="23"/>
      <c r="Y164" s="6"/>
    </row>
    <row r="165" spans="1:25" ht="16.5">
      <c r="A165" s="25">
        <v>46036</v>
      </c>
      <c r="B165" s="29">
        <v>0.59444444444444444</v>
      </c>
      <c r="C165" s="19">
        <v>46042</v>
      </c>
      <c r="D165" s="24" t="str">
        <f t="shared" si="22"/>
        <v>WXL</v>
      </c>
      <c r="E165" s="13" t="str">
        <f>VLOOKUP(D:D,工作表2!A:B,2,0)</f>
        <v>邦善</v>
      </c>
      <c r="F165" s="13" t="str">
        <f>VLOOKUP(D:D,工作表2!A:C,3,0)</f>
        <v>藍</v>
      </c>
      <c r="G165" s="17">
        <v>10305435</v>
      </c>
      <c r="H165" s="17" t="s">
        <v>632</v>
      </c>
      <c r="I165" s="18" t="s">
        <v>638</v>
      </c>
      <c r="J165" s="15">
        <v>280</v>
      </c>
      <c r="K165" s="15">
        <v>18</v>
      </c>
      <c r="L165" s="20">
        <f t="shared" si="23"/>
        <v>6.4285714285714279E-2</v>
      </c>
      <c r="M165" s="12">
        <v>13</v>
      </c>
      <c r="N165" s="12">
        <v>5</v>
      </c>
      <c r="P165" s="32" t="s">
        <v>500</v>
      </c>
      <c r="Q165" s="23"/>
      <c r="Y165" s="6"/>
    </row>
    <row r="166" spans="1:25" ht="16.5">
      <c r="A166" s="25">
        <v>46037</v>
      </c>
      <c r="B166" s="29">
        <v>0.58819444444444446</v>
      </c>
      <c r="C166" s="19">
        <v>46042</v>
      </c>
      <c r="D166" s="24" t="str">
        <f t="shared" si="22"/>
        <v>NRR</v>
      </c>
      <c r="E166" s="13" t="str">
        <f>VLOOKUP(D:D,工作表2!A:B,2,0)</f>
        <v>邦善</v>
      </c>
      <c r="F166" s="13" t="str">
        <f>VLOOKUP(D:D,工作表2!A:C,3,0)</f>
        <v>紅</v>
      </c>
      <c r="G166" s="17">
        <v>10305455</v>
      </c>
      <c r="H166" s="17" t="s">
        <v>633</v>
      </c>
      <c r="I166" s="18" t="s">
        <v>639</v>
      </c>
      <c r="J166" s="15">
        <v>280</v>
      </c>
      <c r="K166" s="15">
        <v>25</v>
      </c>
      <c r="L166" s="20">
        <f t="shared" si="23"/>
        <v>8.9285714285714288E-2</v>
      </c>
      <c r="M166" s="12">
        <v>20</v>
      </c>
      <c r="N166" s="12">
        <v>5</v>
      </c>
      <c r="P166" s="32" t="s">
        <v>500</v>
      </c>
      <c r="Q166" s="23"/>
      <c r="Y166" s="6"/>
    </row>
    <row r="167" spans="1:25" ht="16.5">
      <c r="A167" s="25">
        <v>46038</v>
      </c>
      <c r="B167" s="29">
        <v>0.3888888888888889</v>
      </c>
      <c r="C167" s="19">
        <v>46042</v>
      </c>
      <c r="D167" s="24" t="str">
        <f t="shared" si="22"/>
        <v>Q9B</v>
      </c>
      <c r="E167" s="13" t="str">
        <f>VLOOKUP(D:D,工作表2!A:B,2,0)</f>
        <v>邦善</v>
      </c>
      <c r="F167" s="13" t="str">
        <f>VLOOKUP(D:D,工作表2!A:C,3,0)</f>
        <v>黑</v>
      </c>
      <c r="G167" s="17">
        <v>10309369</v>
      </c>
      <c r="H167" s="17" t="s">
        <v>631</v>
      </c>
      <c r="I167" s="18" t="s">
        <v>637</v>
      </c>
      <c r="J167" s="15">
        <v>72</v>
      </c>
      <c r="K167" s="15">
        <v>9</v>
      </c>
      <c r="L167" s="20">
        <f t="shared" si="23"/>
        <v>0.125</v>
      </c>
      <c r="M167" s="12">
        <v>5</v>
      </c>
      <c r="N167" s="12">
        <v>4</v>
      </c>
      <c r="P167" s="32" t="s">
        <v>500</v>
      </c>
      <c r="Q167" s="23" t="s">
        <v>962</v>
      </c>
      <c r="Y167" s="6"/>
    </row>
    <row r="168" spans="1:25" ht="16.5">
      <c r="A168" s="25">
        <v>46037</v>
      </c>
      <c r="B168" s="29">
        <v>0.59236111111111112</v>
      </c>
      <c r="C168" s="19">
        <v>46042</v>
      </c>
      <c r="D168" s="24" t="str">
        <f t="shared" si="22"/>
        <v>75W</v>
      </c>
      <c r="E168" s="13" t="str">
        <f>VLOOKUP(D:D,工作表2!A:B,2,0)</f>
        <v>敦陽</v>
      </c>
      <c r="F168" s="13" t="str">
        <f>VLOOKUP(D:D,工作表2!A:C,3,0)</f>
        <v>白</v>
      </c>
      <c r="G168" s="17">
        <v>10312040</v>
      </c>
      <c r="H168" s="17" t="s">
        <v>427</v>
      </c>
      <c r="I168" s="18" t="s">
        <v>432</v>
      </c>
      <c r="J168" s="15">
        <v>134</v>
      </c>
      <c r="K168" s="15">
        <v>17</v>
      </c>
      <c r="L168" s="20">
        <f t="shared" si="23"/>
        <v>0.12686567164179105</v>
      </c>
      <c r="M168" s="12">
        <v>12</v>
      </c>
      <c r="N168" s="12">
        <v>5</v>
      </c>
      <c r="P168" s="32" t="s">
        <v>500</v>
      </c>
      <c r="Q168" s="23" t="s">
        <v>961</v>
      </c>
      <c r="Y168" s="6"/>
    </row>
    <row r="169" spans="1:25" ht="16.5">
      <c r="A169" s="25">
        <v>46041</v>
      </c>
      <c r="B169" s="29">
        <v>0.59791666666666665</v>
      </c>
      <c r="C169" s="11">
        <v>46043</v>
      </c>
      <c r="D169" s="24" t="str">
        <f t="shared" ref="D169:D188" si="24">RIGHT(I169,3)</f>
        <v>HWW</v>
      </c>
      <c r="E169" s="13" t="str">
        <f>VLOOKUP(D:D,工作表2!A:B,2,0)</f>
        <v>邦善</v>
      </c>
      <c r="F169" s="13" t="str">
        <f>VLOOKUP(D:D,工作表2!A:C,3,0)</f>
        <v>白</v>
      </c>
      <c r="G169" s="17">
        <v>10309241</v>
      </c>
      <c r="H169" s="17" t="s">
        <v>643</v>
      </c>
      <c r="I169" s="18" t="s">
        <v>653</v>
      </c>
      <c r="J169" s="15">
        <v>30</v>
      </c>
      <c r="K169" s="15">
        <v>0</v>
      </c>
      <c r="L169" s="20">
        <f t="shared" ref="L169:L188" si="25">K169/J169</f>
        <v>0</v>
      </c>
      <c r="P169" s="32" t="s">
        <v>500</v>
      </c>
      <c r="Q169" s="23"/>
      <c r="Y169" s="6"/>
    </row>
    <row r="170" spans="1:25" ht="16.5">
      <c r="A170" s="25">
        <v>46041</v>
      </c>
      <c r="B170" s="29">
        <v>0.59722222222222221</v>
      </c>
      <c r="C170" s="11">
        <v>46043</v>
      </c>
      <c r="D170" s="24" t="str">
        <f t="shared" si="24"/>
        <v>JSB</v>
      </c>
      <c r="E170" s="13" t="str">
        <f>VLOOKUP(D:D,工作表2!A:B,2,0)</f>
        <v>邦善</v>
      </c>
      <c r="F170" s="13" t="str">
        <f>VLOOKUP(D:D,工作表2!A:C,3,0)</f>
        <v>黑</v>
      </c>
      <c r="G170" s="17">
        <v>10309243</v>
      </c>
      <c r="H170" s="17" t="s">
        <v>642</v>
      </c>
      <c r="I170" s="18" t="s">
        <v>652</v>
      </c>
      <c r="J170" s="15">
        <v>30</v>
      </c>
      <c r="K170" s="15">
        <v>0</v>
      </c>
      <c r="L170" s="20">
        <f t="shared" si="25"/>
        <v>0</v>
      </c>
      <c r="P170" s="32" t="s">
        <v>500</v>
      </c>
      <c r="Q170" s="23"/>
      <c r="Y170" s="6"/>
    </row>
    <row r="171" spans="1:25" ht="16.5">
      <c r="A171" s="25">
        <v>46037</v>
      </c>
      <c r="B171" s="29">
        <v>0.61111111111111105</v>
      </c>
      <c r="C171" s="19">
        <v>46043</v>
      </c>
      <c r="D171" s="24" t="str">
        <f t="shared" si="24"/>
        <v>L3B</v>
      </c>
      <c r="E171" s="13" t="str">
        <f>VLOOKUP(D:D,工作表2!A:B,2,0)</f>
        <v>邦善</v>
      </c>
      <c r="F171" s="13" t="str">
        <f>VLOOKUP(D:D,工作表2!A:C,3,0)</f>
        <v>黑</v>
      </c>
      <c r="G171" s="17">
        <v>10309238</v>
      </c>
      <c r="H171" s="17" t="s">
        <v>649</v>
      </c>
      <c r="I171" s="18" t="s">
        <v>659</v>
      </c>
      <c r="J171" s="15">
        <v>40</v>
      </c>
      <c r="K171" s="15">
        <v>2</v>
      </c>
      <c r="L171" s="20">
        <f t="shared" si="25"/>
        <v>0.05</v>
      </c>
      <c r="M171" s="12">
        <v>2</v>
      </c>
      <c r="P171" s="32" t="s">
        <v>500</v>
      </c>
      <c r="Q171" s="23"/>
      <c r="Y171" s="6"/>
    </row>
    <row r="172" spans="1:25" ht="16.5">
      <c r="A172" s="25">
        <v>46037</v>
      </c>
      <c r="B172" s="29">
        <v>0.61041666666666672</v>
      </c>
      <c r="C172" s="19">
        <v>46043</v>
      </c>
      <c r="D172" s="24" t="str">
        <f t="shared" si="24"/>
        <v>M2W</v>
      </c>
      <c r="E172" s="13" t="str">
        <f>VLOOKUP(D:D,工作表2!A:B,2,0)</f>
        <v>邦善</v>
      </c>
      <c r="F172" s="13" t="str">
        <f>VLOOKUP(D:D,工作表2!A:C,3,0)</f>
        <v>白</v>
      </c>
      <c r="G172" s="17">
        <v>10309242</v>
      </c>
      <c r="H172" s="17" t="s">
        <v>651</v>
      </c>
      <c r="I172" s="18" t="s">
        <v>661</v>
      </c>
      <c r="J172" s="15">
        <v>180</v>
      </c>
      <c r="K172" s="15">
        <v>22</v>
      </c>
      <c r="L172" s="20">
        <f t="shared" si="25"/>
        <v>0.12222222222222222</v>
      </c>
      <c r="M172" s="12">
        <v>15</v>
      </c>
      <c r="N172" s="12">
        <v>7</v>
      </c>
      <c r="P172" s="32" t="s">
        <v>500</v>
      </c>
      <c r="Q172" s="23"/>
      <c r="Y172" s="6"/>
    </row>
    <row r="173" spans="1:25" ht="16.5">
      <c r="A173" s="25">
        <v>46037</v>
      </c>
      <c r="B173" s="29">
        <v>0.60486111111111118</v>
      </c>
      <c r="C173" s="19">
        <v>46043</v>
      </c>
      <c r="D173" s="24" t="str">
        <f t="shared" si="24"/>
        <v>RKB</v>
      </c>
      <c r="E173" s="13" t="str">
        <f>VLOOKUP(D:D,工作表2!A:B,2,0)</f>
        <v>邦善</v>
      </c>
      <c r="F173" s="13" t="str">
        <f>VLOOKUP(D:D,工作表2!A:C,3,0)</f>
        <v>黑</v>
      </c>
      <c r="G173" s="17">
        <v>10309244</v>
      </c>
      <c r="H173" s="17" t="s">
        <v>650</v>
      </c>
      <c r="I173" s="18" t="s">
        <v>660</v>
      </c>
      <c r="J173" s="15">
        <v>40</v>
      </c>
      <c r="K173" s="15">
        <v>2</v>
      </c>
      <c r="L173" s="20">
        <f t="shared" si="25"/>
        <v>0.05</v>
      </c>
      <c r="M173" s="12">
        <v>2</v>
      </c>
      <c r="P173" s="32" t="s">
        <v>500</v>
      </c>
      <c r="Q173" s="23"/>
      <c r="Y173" s="6"/>
    </row>
    <row r="174" spans="1:25" ht="16.5">
      <c r="A174" s="25">
        <v>46037</v>
      </c>
      <c r="B174" s="29">
        <v>0.6118055555555556</v>
      </c>
      <c r="C174" s="19">
        <v>46043</v>
      </c>
      <c r="D174" s="24" t="str">
        <f t="shared" si="24"/>
        <v>YJG</v>
      </c>
      <c r="E174" s="13" t="str">
        <f>VLOOKUP(D:D,工作表2!A:B,2,0)</f>
        <v>邦善</v>
      </c>
      <c r="F174" s="13" t="str">
        <f>VLOOKUP(D:D,工作表2!A:C,3,0)</f>
        <v>紅</v>
      </c>
      <c r="G174" s="17">
        <v>10309239</v>
      </c>
      <c r="H174" s="17" t="s">
        <v>648</v>
      </c>
      <c r="I174" s="18" t="s">
        <v>658</v>
      </c>
      <c r="J174" s="15">
        <v>30</v>
      </c>
      <c r="K174" s="15">
        <v>1</v>
      </c>
      <c r="L174" s="20">
        <f t="shared" si="25"/>
        <v>3.3333333333333333E-2</v>
      </c>
      <c r="M174" s="12">
        <v>1</v>
      </c>
      <c r="P174" s="32" t="s">
        <v>500</v>
      </c>
      <c r="Q174" s="23"/>
      <c r="Y174" s="6"/>
    </row>
    <row r="175" spans="1:25">
      <c r="A175" s="25">
        <v>46042</v>
      </c>
      <c r="B175" s="29">
        <v>0.3833333333333333</v>
      </c>
      <c r="C175" s="19">
        <v>46043</v>
      </c>
      <c r="D175" s="24" t="str">
        <f t="shared" si="24"/>
        <v>QRB</v>
      </c>
      <c r="E175" s="13" t="str">
        <f>VLOOKUP(D:D,工作表2!A:B,2,0)</f>
        <v>邦善</v>
      </c>
      <c r="F175" s="13" t="str">
        <f>VLOOKUP(D:D,工作表2!A:C,3,0)</f>
        <v>霧面黑</v>
      </c>
      <c r="G175" s="17">
        <v>10309290</v>
      </c>
      <c r="H175" s="17" t="s">
        <v>170</v>
      </c>
      <c r="I175" s="18" t="s">
        <v>171</v>
      </c>
      <c r="J175" s="15">
        <v>18620</v>
      </c>
      <c r="K175" s="15">
        <v>901</v>
      </c>
      <c r="L175" s="20">
        <f t="shared" si="25"/>
        <v>4.8388829215896885E-2</v>
      </c>
      <c r="M175" s="12">
        <v>768</v>
      </c>
      <c r="N175" s="12">
        <v>126</v>
      </c>
      <c r="O175" s="15">
        <v>7</v>
      </c>
      <c r="P175" s="32" t="s">
        <v>662</v>
      </c>
      <c r="Q175" s="23"/>
      <c r="Y175" s="6"/>
    </row>
    <row r="176" spans="1:25" ht="16.5">
      <c r="A176" s="25">
        <v>46042</v>
      </c>
      <c r="B176" s="29">
        <v>0.44513888888888892</v>
      </c>
      <c r="C176" s="19">
        <v>46043</v>
      </c>
      <c r="D176" s="24" t="str">
        <f t="shared" si="24"/>
        <v>TZB</v>
      </c>
      <c r="E176" s="13" t="str">
        <f>VLOOKUP(D:D,工作表2!A:B,2,0)</f>
        <v>邦善</v>
      </c>
      <c r="F176" s="13" t="str">
        <f>VLOOKUP(D:D,工作表2!A:C,3,0)</f>
        <v>黑</v>
      </c>
      <c r="G176" s="17">
        <v>10309305</v>
      </c>
      <c r="H176" s="17" t="s">
        <v>644</v>
      </c>
      <c r="I176" s="18" t="s">
        <v>654</v>
      </c>
      <c r="J176" s="15">
        <v>3458</v>
      </c>
      <c r="K176" s="15">
        <v>214</v>
      </c>
      <c r="L176" s="20">
        <f t="shared" si="25"/>
        <v>6.1885482938114515E-2</v>
      </c>
      <c r="M176" s="12">
        <v>180</v>
      </c>
      <c r="N176" s="12">
        <v>34</v>
      </c>
      <c r="P176" s="32" t="s">
        <v>500</v>
      </c>
      <c r="Q176" s="23"/>
      <c r="Y176" s="6"/>
    </row>
    <row r="177" spans="1:25" ht="16.5">
      <c r="A177" s="25">
        <v>46042</v>
      </c>
      <c r="B177" s="29">
        <v>0.47013888888888888</v>
      </c>
      <c r="C177" s="19">
        <v>46043</v>
      </c>
      <c r="D177" s="24" t="str">
        <f t="shared" si="24"/>
        <v>U3L</v>
      </c>
      <c r="E177" s="13" t="str">
        <f>VLOOKUP(D:D,工作表2!A:B,2,0)</f>
        <v>邦善</v>
      </c>
      <c r="F177" s="13" t="str">
        <f>VLOOKUP(D:D,工作表2!A:C,3,0)</f>
        <v>藍</v>
      </c>
      <c r="G177" s="17">
        <v>10309315</v>
      </c>
      <c r="H177" s="17" t="s">
        <v>392</v>
      </c>
      <c r="I177" s="18" t="s">
        <v>394</v>
      </c>
      <c r="J177" s="15">
        <v>1596</v>
      </c>
      <c r="K177" s="15">
        <v>60</v>
      </c>
      <c r="L177" s="20">
        <f t="shared" si="25"/>
        <v>3.7593984962406013E-2</v>
      </c>
      <c r="M177" s="12">
        <v>45</v>
      </c>
      <c r="N177" s="12">
        <v>15</v>
      </c>
      <c r="P177" s="32" t="s">
        <v>500</v>
      </c>
      <c r="Q177" s="23"/>
      <c r="Y177" s="6"/>
    </row>
    <row r="178" spans="1:25" ht="16.5">
      <c r="A178" s="25">
        <v>46042</v>
      </c>
      <c r="B178" s="29">
        <v>0.4604166666666667</v>
      </c>
      <c r="C178" s="19">
        <v>46043</v>
      </c>
      <c r="D178" s="24" t="str">
        <f t="shared" si="24"/>
        <v>VLS</v>
      </c>
      <c r="E178" s="13" t="str">
        <f>VLOOKUP(D:D,工作表2!A:B,2,0)</f>
        <v>邦善</v>
      </c>
      <c r="F178" s="13" t="str">
        <f>VLOOKUP(D:D,工作表2!A:C,3,0)</f>
        <v>銀</v>
      </c>
      <c r="G178" s="17">
        <v>10309323</v>
      </c>
      <c r="H178" s="17" t="s">
        <v>383</v>
      </c>
      <c r="I178" s="18" t="s">
        <v>388</v>
      </c>
      <c r="J178" s="15">
        <v>2128</v>
      </c>
      <c r="K178" s="15">
        <v>91</v>
      </c>
      <c r="L178" s="20">
        <f t="shared" si="25"/>
        <v>4.2763157894736843E-2</v>
      </c>
      <c r="M178" s="12">
        <v>70</v>
      </c>
      <c r="N178" s="12">
        <v>21</v>
      </c>
      <c r="P178" s="32" t="s">
        <v>500</v>
      </c>
      <c r="Q178" s="23"/>
      <c r="Y178" s="6"/>
    </row>
    <row r="179" spans="1:25" ht="16.5">
      <c r="A179" s="25">
        <v>46042</v>
      </c>
      <c r="B179" s="29">
        <v>0.45833333333333331</v>
      </c>
      <c r="C179" s="19">
        <v>46043</v>
      </c>
      <c r="D179" s="24" t="str">
        <f t="shared" si="24"/>
        <v>TZB</v>
      </c>
      <c r="E179" s="13" t="str">
        <f>VLOOKUP(D:D,工作表2!A:B,2,0)</f>
        <v>邦善</v>
      </c>
      <c r="F179" s="13" t="str">
        <f>VLOOKUP(D:D,工作表2!A:C,3,0)</f>
        <v>黑</v>
      </c>
      <c r="G179" s="17">
        <v>10309308</v>
      </c>
      <c r="H179" s="17" t="s">
        <v>449</v>
      </c>
      <c r="I179" s="18" t="s">
        <v>451</v>
      </c>
      <c r="J179" s="15">
        <v>532</v>
      </c>
      <c r="K179" s="15">
        <v>45</v>
      </c>
      <c r="L179" s="20">
        <f t="shared" si="25"/>
        <v>8.4586466165413529E-2</v>
      </c>
      <c r="M179" s="12">
        <v>43</v>
      </c>
      <c r="N179" s="12">
        <v>2</v>
      </c>
      <c r="P179" s="32" t="s">
        <v>500</v>
      </c>
      <c r="Q179" s="23"/>
      <c r="Y179" s="6"/>
    </row>
    <row r="180" spans="1:25" ht="16.5">
      <c r="A180" s="25">
        <v>46042</v>
      </c>
      <c r="B180" s="29">
        <v>0.47569444444444442</v>
      </c>
      <c r="C180" s="19">
        <v>46043</v>
      </c>
      <c r="D180" s="24" t="str">
        <f t="shared" si="24"/>
        <v>X9A</v>
      </c>
      <c r="E180" s="13" t="str">
        <f>VLOOKUP(D:D,工作表2!A:B,2,0)</f>
        <v>邦善</v>
      </c>
      <c r="F180" s="13" t="str">
        <f>VLOOKUP(D:D,工作表2!A:C,3,0)</f>
        <v>灰</v>
      </c>
      <c r="G180" s="17">
        <v>10309312</v>
      </c>
      <c r="H180" s="17" t="s">
        <v>646</v>
      </c>
      <c r="I180" s="18" t="s">
        <v>656</v>
      </c>
      <c r="J180" s="15">
        <v>532</v>
      </c>
      <c r="K180" s="15">
        <v>22</v>
      </c>
      <c r="L180" s="20">
        <f t="shared" si="25"/>
        <v>4.1353383458646614E-2</v>
      </c>
      <c r="M180" s="12">
        <v>21</v>
      </c>
      <c r="N180" s="12">
        <v>1</v>
      </c>
      <c r="P180" s="32" t="s">
        <v>500</v>
      </c>
      <c r="Q180" s="23"/>
      <c r="Y180" s="6"/>
    </row>
    <row r="181" spans="1:25" ht="16.5">
      <c r="A181" s="25">
        <v>46042</v>
      </c>
      <c r="B181" s="29">
        <v>0.4777777777777778</v>
      </c>
      <c r="C181" s="19">
        <v>46043</v>
      </c>
      <c r="D181" s="24" t="str">
        <f t="shared" si="24"/>
        <v>XCS</v>
      </c>
      <c r="E181" s="13" t="str">
        <f>VLOOKUP(D:D,工作表2!A:B,2,0)</f>
        <v>邦善</v>
      </c>
      <c r="F181" s="13" t="str">
        <f>VLOOKUP(D:D,工作表2!A:C,3,0)</f>
        <v>銀</v>
      </c>
      <c r="G181" s="17">
        <v>10309311</v>
      </c>
      <c r="H181" s="17" t="s">
        <v>647</v>
      </c>
      <c r="I181" s="18" t="s">
        <v>657</v>
      </c>
      <c r="J181" s="15">
        <v>532</v>
      </c>
      <c r="K181" s="15">
        <v>40</v>
      </c>
      <c r="L181" s="20">
        <f t="shared" si="25"/>
        <v>7.5187969924812026E-2</v>
      </c>
      <c r="M181" s="12">
        <v>38</v>
      </c>
      <c r="N181" s="12">
        <v>2</v>
      </c>
      <c r="P181" s="32" t="s">
        <v>500</v>
      </c>
      <c r="Q181" s="23"/>
      <c r="Y181" s="6"/>
    </row>
    <row r="182" spans="1:25" ht="16.5">
      <c r="A182" s="25">
        <v>46041</v>
      </c>
      <c r="B182" s="29">
        <v>0.52708333333333335</v>
      </c>
      <c r="C182" s="19">
        <v>46043</v>
      </c>
      <c r="D182" s="24" t="str">
        <f t="shared" si="24"/>
        <v>VKB</v>
      </c>
      <c r="E182" s="13" t="str">
        <f>VLOOKUP(D:D,工作表2!A:B,2,0)</f>
        <v>華山</v>
      </c>
      <c r="F182" s="13" t="str">
        <f>VLOOKUP(D:D,工作表2!A:C,3,0)</f>
        <v>霧面黑</v>
      </c>
      <c r="G182" s="17">
        <v>10309306</v>
      </c>
      <c r="H182" s="17" t="s">
        <v>567</v>
      </c>
      <c r="I182" s="18" t="s">
        <v>575</v>
      </c>
      <c r="J182" s="15">
        <v>840</v>
      </c>
      <c r="K182" s="15">
        <v>25</v>
      </c>
      <c r="L182" s="20">
        <f t="shared" si="25"/>
        <v>2.976190476190476E-2</v>
      </c>
      <c r="M182" s="12">
        <v>23</v>
      </c>
      <c r="N182" s="12">
        <v>2</v>
      </c>
      <c r="P182" s="32" t="s">
        <v>500</v>
      </c>
      <c r="Q182" s="23"/>
      <c r="Y182" s="6"/>
    </row>
    <row r="183" spans="1:25" ht="16.5">
      <c r="A183" s="25">
        <v>46041</v>
      </c>
      <c r="B183" s="29">
        <v>0.53263888888888888</v>
      </c>
      <c r="C183" s="19">
        <v>46043</v>
      </c>
      <c r="D183" s="24" t="str">
        <f t="shared" si="24"/>
        <v>XCB</v>
      </c>
      <c r="E183" s="13" t="str">
        <f>VLOOKUP(D:D,工作表2!A:B,2,0)</f>
        <v>邦善</v>
      </c>
      <c r="F183" s="13" t="str">
        <f>VLOOKUP(D:D,工作表2!A:C,3,0)</f>
        <v>黑</v>
      </c>
      <c r="G183" s="17">
        <v>10309299</v>
      </c>
      <c r="H183" s="17" t="s">
        <v>560</v>
      </c>
      <c r="I183" s="18" t="s">
        <v>568</v>
      </c>
      <c r="J183" s="15">
        <v>420</v>
      </c>
      <c r="K183" s="15">
        <v>58</v>
      </c>
      <c r="L183" s="20">
        <f t="shared" si="25"/>
        <v>0.1380952380952381</v>
      </c>
      <c r="M183" s="12">
        <v>47</v>
      </c>
      <c r="N183" s="12">
        <v>11</v>
      </c>
      <c r="P183" s="32" t="s">
        <v>500</v>
      </c>
      <c r="Q183" s="23"/>
      <c r="Y183" s="6"/>
    </row>
    <row r="184" spans="1:25" ht="16.5">
      <c r="A184" s="25">
        <v>46042</v>
      </c>
      <c r="B184" s="29">
        <v>0.61736111111111114</v>
      </c>
      <c r="C184" s="19">
        <v>46043</v>
      </c>
      <c r="D184" s="24" t="str">
        <f t="shared" si="24"/>
        <v>WRS</v>
      </c>
      <c r="E184" s="13" t="str">
        <f>VLOOKUP(D:D,工作表2!A:B,2,0)</f>
        <v>邦善</v>
      </c>
      <c r="F184" s="13" t="str">
        <f>VLOOKUP(D:D,工作表2!A:C,3,0)</f>
        <v>銀</v>
      </c>
      <c r="G184" s="17">
        <v>10311376</v>
      </c>
      <c r="H184" s="17" t="s">
        <v>645</v>
      </c>
      <c r="I184" s="18" t="s">
        <v>655</v>
      </c>
      <c r="J184" s="15">
        <v>80</v>
      </c>
      <c r="K184" s="15">
        <v>13</v>
      </c>
      <c r="L184" s="20">
        <f t="shared" si="25"/>
        <v>0.16250000000000001</v>
      </c>
      <c r="M184" s="12">
        <v>9</v>
      </c>
      <c r="N184" s="12">
        <v>4</v>
      </c>
      <c r="P184" s="32" t="s">
        <v>500</v>
      </c>
      <c r="Q184" s="23"/>
      <c r="Y184" s="6"/>
    </row>
    <row r="185" spans="1:25" ht="16.5">
      <c r="A185" s="25">
        <v>46041</v>
      </c>
      <c r="B185" s="29">
        <v>0.53680555555555554</v>
      </c>
      <c r="C185" s="19">
        <v>46043</v>
      </c>
      <c r="D185" s="24" t="str">
        <f t="shared" si="24"/>
        <v>Q9B</v>
      </c>
      <c r="E185" s="13" t="str">
        <f>VLOOKUP(D:D,工作表2!A:B,2,0)</f>
        <v>邦善</v>
      </c>
      <c r="F185" s="13" t="str">
        <f>VLOOKUP(D:D,工作表2!A:C,3,0)</f>
        <v>黑</v>
      </c>
      <c r="G185" s="17">
        <v>10310772</v>
      </c>
      <c r="H185" s="17" t="s">
        <v>516</v>
      </c>
      <c r="I185" s="18" t="s">
        <v>528</v>
      </c>
      <c r="J185" s="15">
        <v>480</v>
      </c>
      <c r="K185" s="15">
        <v>103</v>
      </c>
      <c r="L185" s="20">
        <f t="shared" si="25"/>
        <v>0.21458333333333332</v>
      </c>
      <c r="M185" s="12">
        <v>80</v>
      </c>
      <c r="N185" s="12">
        <v>23</v>
      </c>
      <c r="P185" s="32" t="s">
        <v>500</v>
      </c>
      <c r="Q185" s="23" t="s">
        <v>962</v>
      </c>
      <c r="Y185" s="6"/>
    </row>
    <row r="186" spans="1:25" ht="16.5">
      <c r="A186" s="25">
        <v>46036</v>
      </c>
      <c r="B186" s="29">
        <v>0.65069444444444446</v>
      </c>
      <c r="C186" s="19">
        <v>46043</v>
      </c>
      <c r="D186" s="24" t="str">
        <f t="shared" si="24"/>
        <v>NGW</v>
      </c>
      <c r="E186" s="13" t="str">
        <f>VLOOKUP(D:D,工作表2!A:B,2,0)</f>
        <v>邦善</v>
      </c>
      <c r="F186" s="13" t="str">
        <f>VLOOKUP(D:D,工作表2!A:C,3,0)</f>
        <v>白</v>
      </c>
      <c r="G186" s="17">
        <v>10305459</v>
      </c>
      <c r="H186" s="17" t="s">
        <v>561</v>
      </c>
      <c r="I186" s="18" t="s">
        <v>569</v>
      </c>
      <c r="J186" s="15">
        <v>560</v>
      </c>
      <c r="K186" s="15">
        <v>93</v>
      </c>
      <c r="L186" s="20">
        <f t="shared" si="25"/>
        <v>0.16607142857142856</v>
      </c>
      <c r="M186" s="12">
        <v>53</v>
      </c>
      <c r="N186" s="12">
        <v>40</v>
      </c>
      <c r="P186" s="32" t="s">
        <v>500</v>
      </c>
      <c r="Q186" s="23" t="s">
        <v>963</v>
      </c>
      <c r="Y186" s="6"/>
    </row>
    <row r="187" spans="1:25" ht="16.5">
      <c r="A187" s="25">
        <v>46042</v>
      </c>
      <c r="B187" s="29">
        <v>0.57916666666666672</v>
      </c>
      <c r="C187" s="19">
        <v>46043</v>
      </c>
      <c r="D187" s="24" t="str">
        <f t="shared" si="24"/>
        <v>NGW</v>
      </c>
      <c r="E187" s="13" t="str">
        <f>VLOOKUP(D:D,工作表2!A:B,2,0)</f>
        <v>邦善</v>
      </c>
      <c r="F187" s="13" t="str">
        <f>VLOOKUP(D:D,工作表2!A:C,3,0)</f>
        <v>白</v>
      </c>
      <c r="G187" s="17">
        <v>10305454</v>
      </c>
      <c r="H187" s="17" t="s">
        <v>372</v>
      </c>
      <c r="I187" s="18" t="s">
        <v>373</v>
      </c>
      <c r="J187" s="15">
        <v>560</v>
      </c>
      <c r="K187" s="15">
        <v>37</v>
      </c>
      <c r="L187" s="20">
        <f t="shared" si="25"/>
        <v>6.6071428571428573E-2</v>
      </c>
      <c r="M187" s="12">
        <v>30</v>
      </c>
      <c r="N187" s="12">
        <v>7</v>
      </c>
      <c r="P187" s="32" t="s">
        <v>500</v>
      </c>
      <c r="Q187" s="23"/>
      <c r="Y187" s="6"/>
    </row>
    <row r="188" spans="1:25" ht="16.5">
      <c r="A188" s="25">
        <v>46042</v>
      </c>
      <c r="B188" s="29">
        <v>0.59583333333333333</v>
      </c>
      <c r="C188" s="19">
        <v>46043</v>
      </c>
      <c r="D188" s="24" t="str">
        <f t="shared" si="24"/>
        <v>NGW</v>
      </c>
      <c r="E188" s="13" t="str">
        <f>VLOOKUP(D:D,工作表2!A:B,2,0)</f>
        <v>邦善</v>
      </c>
      <c r="F188" s="13" t="str">
        <f>VLOOKUP(D:D,工作表2!A:C,3,0)</f>
        <v>白</v>
      </c>
      <c r="G188" s="17">
        <v>10305453</v>
      </c>
      <c r="H188" s="17" t="s">
        <v>377</v>
      </c>
      <c r="I188" s="18" t="s">
        <v>381</v>
      </c>
      <c r="J188" s="15">
        <v>530</v>
      </c>
      <c r="K188" s="15">
        <v>33</v>
      </c>
      <c r="L188" s="20">
        <f t="shared" si="25"/>
        <v>6.2264150943396226E-2</v>
      </c>
      <c r="M188" s="12">
        <v>28</v>
      </c>
      <c r="N188" s="12">
        <v>5</v>
      </c>
      <c r="P188" s="32" t="s">
        <v>500</v>
      </c>
      <c r="Q188" s="23"/>
      <c r="Y188" s="6"/>
    </row>
    <row r="189" spans="1:25" ht="16.5">
      <c r="A189" s="25">
        <v>46043</v>
      </c>
      <c r="B189" s="29">
        <v>0.3833333333333333</v>
      </c>
      <c r="C189" s="11">
        <v>46044</v>
      </c>
      <c r="D189" s="24" t="str">
        <f t="shared" ref="D189:D201" si="26">RIGHT(I189,3)</f>
        <v>QRB</v>
      </c>
      <c r="E189" s="13" t="str">
        <f>VLOOKUP(D:D,工作表2!A:B,2,0)</f>
        <v>邦善</v>
      </c>
      <c r="F189" s="13" t="str">
        <f>VLOOKUP(D:D,工作表2!A:C,3,0)</f>
        <v>霧面黑</v>
      </c>
      <c r="G189" s="17">
        <v>10309291</v>
      </c>
      <c r="H189" s="17" t="s">
        <v>170</v>
      </c>
      <c r="I189" s="18" t="s">
        <v>171</v>
      </c>
      <c r="J189" s="15">
        <v>25802</v>
      </c>
      <c r="K189" s="15">
        <v>1067</v>
      </c>
      <c r="L189" s="20">
        <f t="shared" ref="L189:L201" si="27">K189/J189</f>
        <v>4.1353383458646614E-2</v>
      </c>
      <c r="M189" s="12">
        <v>783</v>
      </c>
      <c r="N189" s="12">
        <v>279</v>
      </c>
      <c r="O189" s="15">
        <v>5</v>
      </c>
      <c r="P189" s="32" t="s">
        <v>500</v>
      </c>
      <c r="Q189" s="23"/>
      <c r="Y189" s="6"/>
    </row>
    <row r="190" spans="1:25" ht="16.5">
      <c r="A190" s="25">
        <v>46043</v>
      </c>
      <c r="B190" s="29">
        <v>0.54097222222222219</v>
      </c>
      <c r="C190" s="11">
        <v>46044</v>
      </c>
      <c r="D190" s="24" t="str">
        <f t="shared" si="26"/>
        <v>TUR</v>
      </c>
      <c r="E190" s="13" t="str">
        <f>VLOOKUP(D:D,工作表2!A:B,2,0)</f>
        <v>邦善</v>
      </c>
      <c r="F190" s="13" t="str">
        <f>VLOOKUP(D:D,工作表2!A:C,3,0)</f>
        <v>紅</v>
      </c>
      <c r="G190" s="17">
        <v>10314053</v>
      </c>
      <c r="H190" s="17" t="s">
        <v>611</v>
      </c>
      <c r="I190" s="18" t="s">
        <v>621</v>
      </c>
      <c r="J190" s="15">
        <v>266</v>
      </c>
      <c r="K190" s="15">
        <v>26</v>
      </c>
      <c r="L190" s="20">
        <f t="shared" si="27"/>
        <v>9.7744360902255634E-2</v>
      </c>
      <c r="M190" s="12">
        <v>24</v>
      </c>
      <c r="N190" s="12">
        <v>2</v>
      </c>
      <c r="P190" s="32" t="s">
        <v>500</v>
      </c>
      <c r="Q190" s="23"/>
      <c r="Y190" s="6"/>
    </row>
    <row r="191" spans="1:25" ht="16.5">
      <c r="A191" s="25">
        <v>46043</v>
      </c>
      <c r="B191" s="29">
        <v>0.47430555555555554</v>
      </c>
      <c r="C191" s="19">
        <v>46044</v>
      </c>
      <c r="D191" s="24" t="str">
        <f t="shared" si="26"/>
        <v>TXA</v>
      </c>
      <c r="E191" s="13" t="str">
        <f>VLOOKUP(D:D,工作表2!A:B,2,0)</f>
        <v>邦善</v>
      </c>
      <c r="F191" s="13" t="str">
        <f>VLOOKUP(D:D,工作表2!A:C,3,0)</f>
        <v>灰</v>
      </c>
      <c r="G191" s="17">
        <v>10309304</v>
      </c>
      <c r="H191" s="17" t="s">
        <v>520</v>
      </c>
      <c r="I191" s="18" t="s">
        <v>532</v>
      </c>
      <c r="J191" s="15">
        <v>5054</v>
      </c>
      <c r="K191" s="15">
        <v>140</v>
      </c>
      <c r="L191" s="20">
        <f t="shared" si="27"/>
        <v>2.7700831024930747E-2</v>
      </c>
      <c r="M191" s="12">
        <v>105</v>
      </c>
      <c r="N191" s="12">
        <v>35</v>
      </c>
      <c r="P191" s="32" t="s">
        <v>500</v>
      </c>
      <c r="Q191" s="23"/>
      <c r="Y191" s="6"/>
    </row>
    <row r="192" spans="1:25" ht="16.5">
      <c r="A192" s="25">
        <v>46043</v>
      </c>
      <c r="B192" s="29">
        <v>0.53472222222222221</v>
      </c>
      <c r="C192" s="19">
        <v>46044</v>
      </c>
      <c r="D192" s="24" t="str">
        <f t="shared" si="26"/>
        <v>TXA</v>
      </c>
      <c r="E192" s="13" t="str">
        <f>VLOOKUP(D:D,工作表2!A:B,2,0)</f>
        <v>邦善</v>
      </c>
      <c r="F192" s="13" t="str">
        <f>VLOOKUP(D:D,工作表2!A:C,3,0)</f>
        <v>灰</v>
      </c>
      <c r="G192" s="17">
        <v>10309434</v>
      </c>
      <c r="H192" s="17" t="s">
        <v>523</v>
      </c>
      <c r="I192" s="18" t="s">
        <v>535</v>
      </c>
      <c r="J192" s="15">
        <v>532</v>
      </c>
      <c r="K192" s="15">
        <v>23</v>
      </c>
      <c r="L192" s="20">
        <f t="shared" si="27"/>
        <v>4.3233082706766915E-2</v>
      </c>
      <c r="M192" s="12">
        <v>22</v>
      </c>
      <c r="N192" s="12">
        <v>1</v>
      </c>
      <c r="P192" s="32" t="s">
        <v>500</v>
      </c>
      <c r="Q192" s="23"/>
      <c r="Y192" s="6"/>
    </row>
    <row r="193" spans="1:25" ht="16.5">
      <c r="A193" s="25">
        <v>46043</v>
      </c>
      <c r="B193" s="29">
        <v>0.5395833333333333</v>
      </c>
      <c r="C193" s="19">
        <v>46044</v>
      </c>
      <c r="D193" s="24" t="str">
        <f t="shared" si="26"/>
        <v>WZL</v>
      </c>
      <c r="E193" s="13" t="str">
        <f>VLOOKUP(D:D,工作表2!A:B,2,0)</f>
        <v>邦善</v>
      </c>
      <c r="F193" s="13" t="str">
        <f>VLOOKUP(D:D,工作表2!A:C,3,0)</f>
        <v>銀</v>
      </c>
      <c r="G193" s="17">
        <v>10314069</v>
      </c>
      <c r="H193" s="17" t="s">
        <v>450</v>
      </c>
      <c r="I193" s="18" t="s">
        <v>452</v>
      </c>
      <c r="J193" s="15">
        <v>266</v>
      </c>
      <c r="K193" s="15">
        <v>16</v>
      </c>
      <c r="L193" s="20">
        <f t="shared" si="27"/>
        <v>6.0150375939849621E-2</v>
      </c>
      <c r="M193" s="12">
        <v>12</v>
      </c>
      <c r="N193" s="12">
        <v>4</v>
      </c>
      <c r="P193" s="32" t="s">
        <v>500</v>
      </c>
      <c r="Q193" s="23"/>
      <c r="Y193" s="6"/>
    </row>
    <row r="194" spans="1:25" ht="16.5">
      <c r="A194" s="25">
        <v>46043</v>
      </c>
      <c r="B194" s="29">
        <v>0.54305555555555551</v>
      </c>
      <c r="C194" s="19">
        <v>46044</v>
      </c>
      <c r="D194" s="24" t="str">
        <f t="shared" si="26"/>
        <v>VKB</v>
      </c>
      <c r="E194" s="13" t="str">
        <f>VLOOKUP(D:D,工作表2!A:B,2,0)</f>
        <v>華山</v>
      </c>
      <c r="F194" s="13" t="str">
        <f>VLOOKUP(D:D,工作表2!A:C,3,0)</f>
        <v>霧面黑</v>
      </c>
      <c r="G194" s="17">
        <v>10310362</v>
      </c>
      <c r="H194" s="17" t="s">
        <v>542</v>
      </c>
      <c r="I194" s="18" t="s">
        <v>553</v>
      </c>
      <c r="J194" s="15">
        <v>1400</v>
      </c>
      <c r="K194" s="15">
        <v>43</v>
      </c>
      <c r="L194" s="20">
        <f t="shared" si="27"/>
        <v>3.0714285714285715E-2</v>
      </c>
      <c r="M194" s="12">
        <v>40</v>
      </c>
      <c r="N194" s="12">
        <v>3</v>
      </c>
      <c r="P194" s="32" t="s">
        <v>500</v>
      </c>
      <c r="Q194" s="23"/>
      <c r="Y194" s="6"/>
    </row>
    <row r="195" spans="1:25">
      <c r="A195" s="25">
        <v>46043</v>
      </c>
      <c r="B195" s="29">
        <v>0.6</v>
      </c>
      <c r="C195" s="19">
        <v>46044</v>
      </c>
      <c r="D195" s="24" t="str">
        <f t="shared" si="26"/>
        <v>RDR</v>
      </c>
      <c r="E195" s="13" t="str">
        <f>VLOOKUP(D:D,工作表2!A:B,2,0)</f>
        <v>邦善</v>
      </c>
      <c r="F195" s="13" t="str">
        <f>VLOOKUP(D:D,工作表2!A:C,3,0)</f>
        <v>紅</v>
      </c>
      <c r="G195" s="17">
        <v>10305443</v>
      </c>
      <c r="H195" s="17" t="s">
        <v>665</v>
      </c>
      <c r="I195" s="18" t="s">
        <v>669</v>
      </c>
      <c r="J195" s="15">
        <v>320</v>
      </c>
      <c r="K195" s="15">
        <v>45</v>
      </c>
      <c r="L195" s="20">
        <f t="shared" si="27"/>
        <v>0.140625</v>
      </c>
      <c r="M195" s="12">
        <v>30</v>
      </c>
      <c r="N195" s="12">
        <v>13</v>
      </c>
      <c r="P195" s="32" t="s">
        <v>671</v>
      </c>
      <c r="Q195" s="23" t="s">
        <v>962</v>
      </c>
      <c r="T195" s="17">
        <v>2</v>
      </c>
      <c r="Y195" s="6"/>
    </row>
    <row r="196" spans="1:25" ht="16.5">
      <c r="A196" s="25">
        <v>46043</v>
      </c>
      <c r="B196" s="29">
        <v>0.60486111111111118</v>
      </c>
      <c r="C196" s="19">
        <v>46044</v>
      </c>
      <c r="D196" s="24" t="str">
        <f t="shared" si="26"/>
        <v>RDR</v>
      </c>
      <c r="E196" s="13" t="str">
        <f>VLOOKUP(D:D,工作表2!A:B,2,0)</f>
        <v>邦善</v>
      </c>
      <c r="F196" s="13" t="str">
        <f>VLOOKUP(D:D,工作表2!A:C,3,0)</f>
        <v>紅</v>
      </c>
      <c r="G196" s="17">
        <v>10313931</v>
      </c>
      <c r="H196" s="17" t="s">
        <v>591</v>
      </c>
      <c r="I196" s="18" t="s">
        <v>599</v>
      </c>
      <c r="J196" s="15">
        <v>40</v>
      </c>
      <c r="K196" s="15">
        <v>5</v>
      </c>
      <c r="L196" s="20">
        <f t="shared" si="27"/>
        <v>0.125</v>
      </c>
      <c r="M196" s="12">
        <v>4</v>
      </c>
      <c r="N196" s="12">
        <v>1</v>
      </c>
      <c r="P196" s="32" t="s">
        <v>500</v>
      </c>
      <c r="Q196" s="23" t="s">
        <v>963</v>
      </c>
      <c r="Y196" s="6"/>
    </row>
    <row r="197" spans="1:25" ht="16.5">
      <c r="A197" s="25">
        <v>46041</v>
      </c>
      <c r="B197" s="29">
        <v>0.53680555555555554</v>
      </c>
      <c r="C197" s="19">
        <v>46044</v>
      </c>
      <c r="D197" s="24" t="str">
        <f t="shared" si="26"/>
        <v>Q9B</v>
      </c>
      <c r="E197" s="13" t="str">
        <f>VLOOKUP(D:D,工作表2!A:B,2,0)</f>
        <v>邦善</v>
      </c>
      <c r="F197" s="13" t="str">
        <f>VLOOKUP(D:D,工作表2!A:C,3,0)</f>
        <v>黑</v>
      </c>
      <c r="G197" s="17">
        <v>10310773</v>
      </c>
      <c r="H197" s="17" t="s">
        <v>516</v>
      </c>
      <c r="I197" s="18" t="s">
        <v>528</v>
      </c>
      <c r="J197" s="15">
        <v>480</v>
      </c>
      <c r="K197" s="15">
        <v>86</v>
      </c>
      <c r="L197" s="20">
        <f t="shared" si="27"/>
        <v>0.17916666666666667</v>
      </c>
      <c r="M197" s="12">
        <v>62</v>
      </c>
      <c r="N197" s="12">
        <v>24</v>
      </c>
      <c r="P197" s="32" t="s">
        <v>500</v>
      </c>
      <c r="Q197" s="23" t="s">
        <v>962</v>
      </c>
      <c r="Y197" s="6"/>
    </row>
    <row r="198" spans="1:25" ht="16.5">
      <c r="A198" s="25">
        <v>46042</v>
      </c>
      <c r="B198" s="29">
        <v>0.53472222222222221</v>
      </c>
      <c r="C198" s="19">
        <v>46044</v>
      </c>
      <c r="D198" s="24" t="str">
        <f t="shared" si="26"/>
        <v>RCA</v>
      </c>
      <c r="E198" s="13" t="str">
        <f>VLOOKUP(D:D,工作表2!A:B,2,0)</f>
        <v>邦善</v>
      </c>
      <c r="F198" s="13" t="str">
        <f>VLOOKUP(D:D,工作表2!A:C,3,0)</f>
        <v>灰</v>
      </c>
      <c r="G198" s="17">
        <v>10310858</v>
      </c>
      <c r="H198" s="17" t="s">
        <v>663</v>
      </c>
      <c r="I198" s="18" t="s">
        <v>667</v>
      </c>
      <c r="J198" s="15">
        <v>440</v>
      </c>
      <c r="K198" s="15">
        <v>21</v>
      </c>
      <c r="L198" s="20">
        <f t="shared" si="27"/>
        <v>4.7727272727272729E-2</v>
      </c>
      <c r="M198" s="12">
        <v>16</v>
      </c>
      <c r="N198" s="12">
        <v>5</v>
      </c>
      <c r="P198" s="32" t="s">
        <v>500</v>
      </c>
      <c r="Q198" s="23" t="s">
        <v>962</v>
      </c>
      <c r="Y198" s="6"/>
    </row>
    <row r="199" spans="1:25" ht="16.5">
      <c r="A199" s="25">
        <v>46042</v>
      </c>
      <c r="C199" s="19">
        <v>46044</v>
      </c>
      <c r="D199" s="24" t="str">
        <f t="shared" si="26"/>
        <v>NGW</v>
      </c>
      <c r="E199" s="13" t="str">
        <f>VLOOKUP(D:D,工作表2!A:B,2,0)</f>
        <v>邦善</v>
      </c>
      <c r="F199" s="13" t="str">
        <f>VLOOKUP(D:D,工作表2!A:C,3,0)</f>
        <v>白</v>
      </c>
      <c r="G199" s="17">
        <v>10313187</v>
      </c>
      <c r="H199" s="17" t="s">
        <v>561</v>
      </c>
      <c r="I199" s="18" t="s">
        <v>569</v>
      </c>
      <c r="J199" s="15">
        <v>520</v>
      </c>
      <c r="K199" s="15">
        <v>41</v>
      </c>
      <c r="L199" s="20">
        <f t="shared" si="27"/>
        <v>7.8846153846153844E-2</v>
      </c>
      <c r="M199" s="12">
        <v>35</v>
      </c>
      <c r="N199" s="12">
        <v>6</v>
      </c>
      <c r="P199" s="32" t="s">
        <v>500</v>
      </c>
      <c r="Q199" s="23" t="s">
        <v>963</v>
      </c>
      <c r="Y199" s="6"/>
    </row>
    <row r="200" spans="1:25" ht="16.5">
      <c r="A200" s="25">
        <v>46043</v>
      </c>
      <c r="B200" s="29">
        <v>0.56944444444444442</v>
      </c>
      <c r="C200" s="19">
        <v>46044</v>
      </c>
      <c r="D200" s="24" t="str">
        <f t="shared" si="26"/>
        <v>NBB</v>
      </c>
      <c r="E200" s="13" t="str">
        <f>VLOOKUP(D:D,工作表2!A:B,2,0)</f>
        <v>邦善</v>
      </c>
      <c r="F200" s="13" t="str">
        <f>VLOOKUP(D:D,工作表2!A:C,3,0)</f>
        <v>霧面黑</v>
      </c>
      <c r="G200" s="17">
        <v>10307877</v>
      </c>
      <c r="H200" s="17" t="s">
        <v>666</v>
      </c>
      <c r="I200" s="18" t="s">
        <v>670</v>
      </c>
      <c r="J200" s="15">
        <v>280</v>
      </c>
      <c r="K200" s="15">
        <v>6</v>
      </c>
      <c r="L200" s="20">
        <f t="shared" si="27"/>
        <v>2.1428571428571429E-2</v>
      </c>
      <c r="M200" s="12">
        <v>4</v>
      </c>
      <c r="N200" s="12">
        <v>2</v>
      </c>
      <c r="P200" s="32" t="s">
        <v>500</v>
      </c>
      <c r="Q200" s="23" t="s">
        <v>962</v>
      </c>
      <c r="Y200" s="6"/>
    </row>
    <row r="201" spans="1:25" ht="16.5">
      <c r="A201" s="25">
        <v>46041</v>
      </c>
      <c r="B201" s="29">
        <v>0.60138888888888886</v>
      </c>
      <c r="C201" s="19">
        <v>46044</v>
      </c>
      <c r="D201" s="24" t="str">
        <f t="shared" si="26"/>
        <v>RDR</v>
      </c>
      <c r="E201" s="13" t="str">
        <f>VLOOKUP(D:D,工作表2!A:B,2,0)</f>
        <v>邦善</v>
      </c>
      <c r="F201" s="13" t="str">
        <f>VLOOKUP(D:D,工作表2!A:C,3,0)</f>
        <v>紅</v>
      </c>
      <c r="G201" s="17">
        <v>10305456</v>
      </c>
      <c r="H201" s="17" t="s">
        <v>664</v>
      </c>
      <c r="I201" s="18" t="s">
        <v>668</v>
      </c>
      <c r="J201" s="15">
        <v>520</v>
      </c>
      <c r="K201" s="15">
        <v>94</v>
      </c>
      <c r="L201" s="20">
        <f t="shared" si="27"/>
        <v>0.18076923076923077</v>
      </c>
      <c r="M201" s="12">
        <v>82</v>
      </c>
      <c r="N201" s="12">
        <v>12</v>
      </c>
      <c r="P201" s="32" t="s">
        <v>500</v>
      </c>
      <c r="Q201" s="23" t="s">
        <v>962</v>
      </c>
      <c r="Y201" s="6"/>
    </row>
    <row r="202" spans="1:25" ht="16.5">
      <c r="A202" s="25">
        <v>46044</v>
      </c>
      <c r="B202" s="29">
        <v>0.54583333333333328</v>
      </c>
      <c r="C202" s="11">
        <v>46045</v>
      </c>
      <c r="D202" s="24" t="str">
        <f t="shared" ref="D202:D224" si="28">RIGHT(I202,3)</f>
        <v>PLB</v>
      </c>
      <c r="E202" s="13" t="str">
        <f>VLOOKUP(D:D,工作表2!A:B,2,0)</f>
        <v>邦善</v>
      </c>
      <c r="F202" s="13" t="str">
        <f>VLOOKUP(D:D,工作表2!A:C,3,0)</f>
        <v>霧面黑</v>
      </c>
      <c r="G202" s="17">
        <v>10312749</v>
      </c>
      <c r="H202" s="17" t="s">
        <v>408</v>
      </c>
      <c r="I202" s="18" t="s">
        <v>411</v>
      </c>
      <c r="J202" s="15">
        <v>2128</v>
      </c>
      <c r="K202" s="15">
        <v>49</v>
      </c>
      <c r="L202" s="20">
        <f t="shared" ref="L202:L224" si="29">K202/J202</f>
        <v>2.3026315789473683E-2</v>
      </c>
      <c r="M202" s="12">
        <v>44</v>
      </c>
      <c r="N202" s="12">
        <v>5</v>
      </c>
      <c r="P202" s="32" t="s">
        <v>500</v>
      </c>
      <c r="Q202" s="23"/>
      <c r="Y202" s="6"/>
    </row>
    <row r="203" spans="1:25" ht="16.5">
      <c r="A203" s="25">
        <v>46044</v>
      </c>
      <c r="B203" s="29">
        <v>0.40208333333333335</v>
      </c>
      <c r="C203" s="11">
        <v>46045</v>
      </c>
      <c r="D203" s="24" t="str">
        <f t="shared" si="28"/>
        <v>QRB</v>
      </c>
      <c r="E203" s="13" t="str">
        <f>VLOOKUP(D:D,工作表2!A:B,2,0)</f>
        <v>邦善</v>
      </c>
      <c r="F203" s="13" t="str">
        <f>VLOOKUP(D:D,工作表2!A:C,3,0)</f>
        <v>霧面黑</v>
      </c>
      <c r="G203" s="17">
        <v>10312387</v>
      </c>
      <c r="H203" s="17" t="s">
        <v>170</v>
      </c>
      <c r="I203" s="18" t="s">
        <v>171</v>
      </c>
      <c r="J203" s="15">
        <v>11704</v>
      </c>
      <c r="K203" s="15">
        <v>378</v>
      </c>
      <c r="L203" s="20">
        <f t="shared" si="29"/>
        <v>3.2296650717703351E-2</v>
      </c>
      <c r="M203" s="12">
        <v>225</v>
      </c>
      <c r="N203" s="12">
        <v>135</v>
      </c>
      <c r="O203" s="15">
        <v>18</v>
      </c>
      <c r="P203" s="32" t="s">
        <v>500</v>
      </c>
      <c r="Q203" s="23"/>
      <c r="Y203" s="6"/>
    </row>
    <row r="204" spans="1:25" ht="16.5">
      <c r="A204" s="25">
        <v>46044</v>
      </c>
      <c r="B204" s="29">
        <v>0.47569444444444442</v>
      </c>
      <c r="C204" s="19">
        <v>46045</v>
      </c>
      <c r="D204" s="24" t="str">
        <f t="shared" si="28"/>
        <v>QSB</v>
      </c>
      <c r="E204" s="13" t="str">
        <f>VLOOKUP(D:D,工作表2!A:B,2,0)</f>
        <v>邦善</v>
      </c>
      <c r="F204" s="13" t="str">
        <f>VLOOKUP(D:D,工作表2!A:C,3,0)</f>
        <v>黑</v>
      </c>
      <c r="G204" s="17">
        <v>10312383</v>
      </c>
      <c r="H204" s="17" t="s">
        <v>583</v>
      </c>
      <c r="I204" s="18" t="s">
        <v>587</v>
      </c>
      <c r="J204" s="15">
        <v>6118</v>
      </c>
      <c r="K204" s="15">
        <v>265</v>
      </c>
      <c r="L204" s="20">
        <f t="shared" si="29"/>
        <v>4.3314808761033018E-2</v>
      </c>
      <c r="M204" s="12">
        <v>230</v>
      </c>
      <c r="N204" s="12">
        <v>35</v>
      </c>
      <c r="P204" s="32" t="s">
        <v>500</v>
      </c>
      <c r="Q204" s="23"/>
      <c r="Y204" s="6"/>
    </row>
    <row r="205" spans="1:25" ht="16.5">
      <c r="A205" s="25">
        <v>46044</v>
      </c>
      <c r="B205" s="29">
        <v>0.3840277777777778</v>
      </c>
      <c r="C205" s="19">
        <v>46045</v>
      </c>
      <c r="D205" s="24" t="str">
        <f t="shared" si="28"/>
        <v>VKB</v>
      </c>
      <c r="E205" s="13" t="str">
        <f>VLOOKUP(D:D,工作表2!A:B,2,0)</f>
        <v>華山</v>
      </c>
      <c r="F205" s="13" t="str">
        <f>VLOOKUP(D:D,工作表2!A:C,3,0)</f>
        <v>霧面黑</v>
      </c>
      <c r="G205" s="17">
        <v>10312747</v>
      </c>
      <c r="H205" s="17" t="s">
        <v>542</v>
      </c>
      <c r="I205" s="18" t="s">
        <v>553</v>
      </c>
      <c r="J205" s="15">
        <v>2240</v>
      </c>
      <c r="K205" s="15">
        <v>32</v>
      </c>
      <c r="L205" s="20">
        <f t="shared" si="29"/>
        <v>1.4285714285714285E-2</v>
      </c>
      <c r="M205" s="12">
        <v>30</v>
      </c>
      <c r="N205" s="12">
        <v>2</v>
      </c>
      <c r="P205" s="32" t="s">
        <v>500</v>
      </c>
      <c r="Q205" s="23"/>
      <c r="Y205" s="6"/>
    </row>
    <row r="206" spans="1:25" ht="16.5">
      <c r="A206" s="25">
        <v>46037</v>
      </c>
      <c r="B206" s="29">
        <v>0.60347222222222219</v>
      </c>
      <c r="C206" s="19">
        <v>46045</v>
      </c>
      <c r="D206" s="24" t="str">
        <f t="shared" si="28"/>
        <v>75W</v>
      </c>
      <c r="E206" s="13" t="str">
        <f>VLOOKUP(D:D,工作表2!A:B,2,0)</f>
        <v>敦陽</v>
      </c>
      <c r="F206" s="13" t="str">
        <f>VLOOKUP(D:D,工作表2!A:C,3,0)</f>
        <v>白</v>
      </c>
      <c r="G206" s="17">
        <v>10311370</v>
      </c>
      <c r="H206" s="17" t="s">
        <v>680</v>
      </c>
      <c r="I206" s="18" t="s">
        <v>695</v>
      </c>
      <c r="J206" s="15">
        <v>160</v>
      </c>
      <c r="K206" s="15">
        <v>17</v>
      </c>
      <c r="L206" s="20">
        <f t="shared" si="29"/>
        <v>0.10625</v>
      </c>
      <c r="M206" s="12">
        <v>10</v>
      </c>
      <c r="N206" s="12">
        <v>7</v>
      </c>
      <c r="P206" s="32" t="s">
        <v>500</v>
      </c>
      <c r="Q206" s="23"/>
      <c r="Y206" s="6"/>
    </row>
    <row r="207" spans="1:25" ht="16.5">
      <c r="A207" s="25">
        <v>46042</v>
      </c>
      <c r="B207" s="29">
        <v>0.62916666666666665</v>
      </c>
      <c r="C207" s="19">
        <v>46045</v>
      </c>
      <c r="D207" s="24" t="str">
        <f t="shared" si="28"/>
        <v>WQO</v>
      </c>
      <c r="E207" s="13" t="str">
        <f>VLOOKUP(D:D,工作表2!A:B,2,0)</f>
        <v>邦善</v>
      </c>
      <c r="F207" s="13" t="str">
        <f>VLOOKUP(D:D,工作表2!A:C,3,0)</f>
        <v>橘</v>
      </c>
      <c r="G207" s="17">
        <v>10312754</v>
      </c>
      <c r="H207" s="17" t="s">
        <v>679</v>
      </c>
      <c r="I207" s="18" t="s">
        <v>694</v>
      </c>
      <c r="J207" s="15">
        <v>30</v>
      </c>
      <c r="K207" s="15">
        <v>7</v>
      </c>
      <c r="L207" s="20">
        <f t="shared" si="29"/>
        <v>0.23333333333333334</v>
      </c>
      <c r="M207" s="12">
        <v>5</v>
      </c>
      <c r="N207" s="12">
        <v>2</v>
      </c>
      <c r="P207" s="32" t="s">
        <v>500</v>
      </c>
      <c r="Q207" s="23"/>
      <c r="Y207" s="6"/>
    </row>
    <row r="208" spans="1:25" ht="16.5">
      <c r="A208" s="25">
        <v>46042</v>
      </c>
      <c r="B208" s="29">
        <v>0.68888888888888899</v>
      </c>
      <c r="C208" s="19">
        <v>46045</v>
      </c>
      <c r="D208" s="24" t="str">
        <f t="shared" si="28"/>
        <v>YYZ</v>
      </c>
      <c r="E208" s="13" t="str">
        <f>VLOOKUP(D:D,工作表2!A:B,2,0)</f>
        <v>邦善</v>
      </c>
      <c r="F208" s="13" t="str">
        <f>VLOOKUP(D:D,工作表2!A:C,3,0)</f>
        <v>底漆</v>
      </c>
      <c r="G208" s="17">
        <v>10311400</v>
      </c>
      <c r="H208" s="17" t="s">
        <v>676</v>
      </c>
      <c r="I208" s="18" t="s">
        <v>691</v>
      </c>
      <c r="J208" s="15">
        <v>40</v>
      </c>
      <c r="K208" s="15">
        <v>4</v>
      </c>
      <c r="L208" s="20">
        <f t="shared" si="29"/>
        <v>0.1</v>
      </c>
      <c r="M208" s="12">
        <v>4</v>
      </c>
      <c r="P208" s="32" t="s">
        <v>500</v>
      </c>
      <c r="Q208" s="23"/>
      <c r="Y208" s="6"/>
    </row>
    <row r="209" spans="1:25" ht="16.5">
      <c r="A209" s="25">
        <v>46042</v>
      </c>
      <c r="B209" s="29">
        <v>0.63055555555555554</v>
      </c>
      <c r="C209" s="19">
        <v>46045</v>
      </c>
      <c r="D209" s="24" t="str">
        <f t="shared" si="28"/>
        <v>19W</v>
      </c>
      <c r="E209" s="13" t="str">
        <f>VLOOKUP(D:D,工作表2!A:B,2,0)</f>
        <v>敦陽</v>
      </c>
      <c r="F209" s="13" t="str">
        <f>VLOOKUP(D:D,工作表2!A:C,3,0)</f>
        <v>白</v>
      </c>
      <c r="G209" s="17">
        <v>10311368</v>
      </c>
      <c r="H209" s="17" t="s">
        <v>672</v>
      </c>
      <c r="I209" s="18" t="s">
        <v>687</v>
      </c>
      <c r="J209" s="15">
        <v>30</v>
      </c>
      <c r="K209" s="15">
        <v>0</v>
      </c>
      <c r="L209" s="20">
        <f t="shared" si="29"/>
        <v>0</v>
      </c>
      <c r="P209" s="32" t="s">
        <v>500</v>
      </c>
      <c r="Q209" s="23" t="s">
        <v>961</v>
      </c>
      <c r="Y209" s="6"/>
    </row>
    <row r="210" spans="1:25" ht="16.5">
      <c r="A210" s="25">
        <v>46041</v>
      </c>
      <c r="B210" s="29">
        <v>0.61388888888888882</v>
      </c>
      <c r="C210" s="19">
        <v>46045</v>
      </c>
      <c r="D210" s="24" t="str">
        <f t="shared" si="28"/>
        <v>71A</v>
      </c>
      <c r="E210" s="13" t="str">
        <f>VLOOKUP(D:D,工作表2!A:B,2,0)</f>
        <v>敦陽</v>
      </c>
      <c r="F210" s="13" t="str">
        <f>VLOOKUP(D:D,工作表2!A:C,3,0)</f>
        <v>灰</v>
      </c>
      <c r="G210" s="17">
        <v>10311363</v>
      </c>
      <c r="H210" s="17" t="s">
        <v>678</v>
      </c>
      <c r="I210" s="18" t="s">
        <v>693</v>
      </c>
      <c r="J210" s="15">
        <v>40</v>
      </c>
      <c r="K210" s="15">
        <v>1</v>
      </c>
      <c r="L210" s="20">
        <f t="shared" si="29"/>
        <v>2.5000000000000001E-2</v>
      </c>
      <c r="M210" s="12">
        <v>1</v>
      </c>
      <c r="P210" s="32" t="s">
        <v>500</v>
      </c>
      <c r="Q210" s="23" t="s">
        <v>961</v>
      </c>
      <c r="Y210" s="6"/>
    </row>
    <row r="211" spans="1:25" ht="16.5">
      <c r="A211" s="25">
        <v>46037</v>
      </c>
      <c r="B211" s="29">
        <v>0.60416666666666663</v>
      </c>
      <c r="C211" s="19">
        <v>46045</v>
      </c>
      <c r="D211" s="24" t="str">
        <f t="shared" si="28"/>
        <v>75W</v>
      </c>
      <c r="E211" s="13" t="str">
        <f>VLOOKUP(D:D,工作表2!A:B,2,0)</f>
        <v>敦陽</v>
      </c>
      <c r="F211" s="13" t="str">
        <f>VLOOKUP(D:D,工作表2!A:C,3,0)</f>
        <v>白</v>
      </c>
      <c r="G211" s="17">
        <v>10311365</v>
      </c>
      <c r="H211" s="17" t="s">
        <v>681</v>
      </c>
      <c r="I211" s="18" t="s">
        <v>696</v>
      </c>
      <c r="J211" s="15">
        <v>80</v>
      </c>
      <c r="K211" s="15">
        <v>12</v>
      </c>
      <c r="L211" s="20">
        <f t="shared" si="29"/>
        <v>0.15</v>
      </c>
      <c r="M211" s="12">
        <v>10</v>
      </c>
      <c r="N211" s="12">
        <v>2</v>
      </c>
      <c r="P211" s="32" t="s">
        <v>500</v>
      </c>
      <c r="Q211" s="23" t="s">
        <v>961</v>
      </c>
      <c r="Y211" s="6"/>
    </row>
    <row r="212" spans="1:25" ht="16.5">
      <c r="A212" s="25">
        <v>46042</v>
      </c>
      <c r="B212" s="29">
        <v>0.52847222222222223</v>
      </c>
      <c r="C212" s="19">
        <v>46045</v>
      </c>
      <c r="D212" s="24" t="str">
        <f t="shared" si="28"/>
        <v>UUS</v>
      </c>
      <c r="E212" s="13" t="str">
        <f>VLOOKUP(D:D,工作表2!A:B,2,0)</f>
        <v>邦善</v>
      </c>
      <c r="F212" s="13" t="str">
        <f>VLOOKUP(D:D,工作表2!A:C,3,0)</f>
        <v>銀</v>
      </c>
      <c r="G212" s="17">
        <v>10305447</v>
      </c>
      <c r="H212" s="17" t="s">
        <v>674</v>
      </c>
      <c r="I212" s="18" t="s">
        <v>689</v>
      </c>
      <c r="J212" s="15">
        <v>240</v>
      </c>
      <c r="K212" s="15">
        <v>6</v>
      </c>
      <c r="L212" s="20">
        <f t="shared" si="29"/>
        <v>2.5000000000000001E-2</v>
      </c>
      <c r="M212" s="12">
        <v>5</v>
      </c>
      <c r="N212" s="12">
        <v>1</v>
      </c>
      <c r="P212" s="32" t="s">
        <v>500</v>
      </c>
      <c r="Q212" s="23" t="s">
        <v>963</v>
      </c>
      <c r="Y212" s="6"/>
    </row>
    <row r="213" spans="1:25" ht="16.5">
      <c r="A213" s="25">
        <v>46043</v>
      </c>
      <c r="B213" s="29">
        <v>0.57638888888888895</v>
      </c>
      <c r="C213" s="19">
        <v>46045</v>
      </c>
      <c r="D213" s="24" t="str">
        <f t="shared" si="28"/>
        <v>Q9B</v>
      </c>
      <c r="E213" s="13" t="str">
        <f>VLOOKUP(D:D,工作表2!A:B,2,0)</f>
        <v>邦善</v>
      </c>
      <c r="F213" s="13" t="str">
        <f>VLOOKUP(D:D,工作表2!A:C,3,0)</f>
        <v>黑</v>
      </c>
      <c r="G213" s="17">
        <v>10310774</v>
      </c>
      <c r="H213" s="17" t="s">
        <v>516</v>
      </c>
      <c r="I213" s="18" t="s">
        <v>528</v>
      </c>
      <c r="J213" s="15">
        <v>480</v>
      </c>
      <c r="K213" s="15">
        <v>85</v>
      </c>
      <c r="L213" s="20">
        <f t="shared" si="29"/>
        <v>0.17708333333333334</v>
      </c>
      <c r="M213" s="12">
        <v>80</v>
      </c>
      <c r="N213" s="12">
        <v>5</v>
      </c>
      <c r="P213" s="32" t="s">
        <v>500</v>
      </c>
      <c r="Q213" s="23" t="s">
        <v>962</v>
      </c>
      <c r="Y213" s="6"/>
    </row>
    <row r="214" spans="1:25" ht="16.5">
      <c r="A214" s="25">
        <v>46043</v>
      </c>
      <c r="B214" s="29">
        <v>0.5854166666666667</v>
      </c>
      <c r="C214" s="19">
        <v>46045</v>
      </c>
      <c r="D214" s="24" t="str">
        <f t="shared" si="28"/>
        <v>RCA</v>
      </c>
      <c r="E214" s="13" t="str">
        <f>VLOOKUP(D:D,工作表2!A:B,2,0)</f>
        <v>邦善</v>
      </c>
      <c r="F214" s="13" t="str">
        <f>VLOOKUP(D:D,工作表2!A:C,3,0)</f>
        <v>灰</v>
      </c>
      <c r="G214" s="17">
        <v>10311359</v>
      </c>
      <c r="H214" s="17" t="s">
        <v>675</v>
      </c>
      <c r="I214" s="18" t="s">
        <v>690</v>
      </c>
      <c r="J214" s="15">
        <v>360</v>
      </c>
      <c r="K214" s="15">
        <v>13</v>
      </c>
      <c r="L214" s="20">
        <f t="shared" si="29"/>
        <v>3.6111111111111108E-2</v>
      </c>
      <c r="M214" s="12">
        <v>10</v>
      </c>
      <c r="N214" s="12">
        <v>3</v>
      </c>
      <c r="P214" s="32" t="s">
        <v>500</v>
      </c>
      <c r="Q214" s="23" t="s">
        <v>963</v>
      </c>
      <c r="Y214" s="6"/>
    </row>
    <row r="215" spans="1:25" ht="16.5">
      <c r="A215" s="25">
        <v>46036</v>
      </c>
      <c r="B215" s="29">
        <v>0.5756944444444444</v>
      </c>
      <c r="C215" s="19">
        <v>46045</v>
      </c>
      <c r="D215" s="24" t="str">
        <f t="shared" si="28"/>
        <v>UZW</v>
      </c>
      <c r="E215" s="13" t="str">
        <f>VLOOKUP(D:D,工作表2!A:B,2,0)</f>
        <v>邦善</v>
      </c>
      <c r="F215" s="13" t="str">
        <f>VLOOKUP(D:D,工作表2!A:C,3,0)</f>
        <v>白</v>
      </c>
      <c r="G215" s="17">
        <v>10305458</v>
      </c>
      <c r="H215" s="17" t="s">
        <v>673</v>
      </c>
      <c r="I215" s="18" t="s">
        <v>688</v>
      </c>
      <c r="J215" s="15">
        <v>560</v>
      </c>
      <c r="K215" s="15">
        <v>40</v>
      </c>
      <c r="L215" s="20">
        <f t="shared" si="29"/>
        <v>7.1428571428571425E-2</v>
      </c>
      <c r="M215" s="12">
        <v>30</v>
      </c>
      <c r="N215" s="12">
        <v>10</v>
      </c>
      <c r="P215" s="32" t="s">
        <v>500</v>
      </c>
      <c r="Q215" s="23" t="s">
        <v>963</v>
      </c>
      <c r="Y215" s="6"/>
    </row>
    <row r="216" spans="1:25" ht="16.5">
      <c r="A216" s="25">
        <v>46044</v>
      </c>
      <c r="B216" s="29">
        <v>0.55763888888888891</v>
      </c>
      <c r="C216" s="19">
        <v>46045</v>
      </c>
      <c r="D216" s="24" t="str">
        <f t="shared" si="28"/>
        <v>NFS</v>
      </c>
      <c r="E216" s="13" t="str">
        <f>VLOOKUP(D:D,工作表2!A:B,2,0)</f>
        <v>邦善</v>
      </c>
      <c r="F216" s="13" t="str">
        <f>VLOOKUP(D:D,工作表2!A:C,3,0)</f>
        <v>銀</v>
      </c>
      <c r="G216" s="17">
        <v>10309329</v>
      </c>
      <c r="H216" s="17" t="s">
        <v>686</v>
      </c>
      <c r="I216" s="18" t="s">
        <v>701</v>
      </c>
      <c r="J216" s="15">
        <v>430</v>
      </c>
      <c r="K216" s="15">
        <v>37</v>
      </c>
      <c r="L216" s="20">
        <f t="shared" si="29"/>
        <v>8.6046511627906982E-2</v>
      </c>
      <c r="M216" s="12">
        <v>30</v>
      </c>
      <c r="N216" s="12">
        <v>7</v>
      </c>
      <c r="P216" s="32" t="s">
        <v>500</v>
      </c>
      <c r="Q216" s="23" t="s">
        <v>961</v>
      </c>
      <c r="Y216" s="6"/>
    </row>
    <row r="217" spans="1:25" ht="16.5">
      <c r="A217" s="25">
        <v>46044</v>
      </c>
      <c r="B217" s="29">
        <v>0.56111111111111112</v>
      </c>
      <c r="C217" s="19">
        <v>46045</v>
      </c>
      <c r="D217" s="24" t="str">
        <f t="shared" si="28"/>
        <v>PNN</v>
      </c>
      <c r="E217" s="13" t="str">
        <f>VLOOKUP(D:D,工作表2!A:B,2,0)</f>
        <v>邦善</v>
      </c>
      <c r="F217" s="13" t="str">
        <f>VLOOKUP(D:D,工作表2!A:C,3,0)</f>
        <v>棕</v>
      </c>
      <c r="G217" s="17">
        <v>10312757</v>
      </c>
      <c r="H217" s="17" t="s">
        <v>685</v>
      </c>
      <c r="I217" s="18" t="s">
        <v>700</v>
      </c>
      <c r="J217" s="15">
        <v>360</v>
      </c>
      <c r="K217" s="15">
        <v>41</v>
      </c>
      <c r="L217" s="20">
        <f t="shared" si="29"/>
        <v>0.11388888888888889</v>
      </c>
      <c r="M217" s="12">
        <v>36</v>
      </c>
      <c r="N217" s="12">
        <v>5</v>
      </c>
      <c r="P217" s="32" t="s">
        <v>500</v>
      </c>
      <c r="Q217" s="23" t="s">
        <v>961</v>
      </c>
      <c r="Y217" s="6"/>
    </row>
    <row r="218" spans="1:25" ht="16.5">
      <c r="A218" s="25">
        <v>46043</v>
      </c>
      <c r="B218" s="29">
        <v>0.5625</v>
      </c>
      <c r="C218" s="19">
        <v>46045</v>
      </c>
      <c r="D218" s="24" t="str">
        <f t="shared" si="28"/>
        <v>N8B</v>
      </c>
      <c r="E218" s="13" t="str">
        <f>VLOOKUP(D:D,工作表2!A:B,2,0)</f>
        <v>邦善</v>
      </c>
      <c r="F218" s="13" t="str">
        <f>VLOOKUP(D:D,工作表2!A:C,3,0)</f>
        <v>霧面黑</v>
      </c>
      <c r="G218" s="17">
        <v>10309331</v>
      </c>
      <c r="H218" s="17" t="s">
        <v>607</v>
      </c>
      <c r="I218" s="18" t="s">
        <v>609</v>
      </c>
      <c r="J218" s="15">
        <v>938</v>
      </c>
      <c r="K218" s="15">
        <v>61</v>
      </c>
      <c r="L218" s="20">
        <f t="shared" si="29"/>
        <v>6.5031982942430705E-2</v>
      </c>
      <c r="M218" s="12">
        <v>34</v>
      </c>
      <c r="N218" s="12">
        <v>27</v>
      </c>
      <c r="P218" s="32" t="s">
        <v>500</v>
      </c>
      <c r="Q218" s="23" t="s">
        <v>961</v>
      </c>
      <c r="Y218" s="6"/>
    </row>
    <row r="219" spans="1:25" ht="16.5">
      <c r="A219" s="25">
        <v>46041</v>
      </c>
      <c r="B219" s="29">
        <v>0.61111111111111105</v>
      </c>
      <c r="C219" s="19">
        <v>46045</v>
      </c>
      <c r="D219" s="24" t="str">
        <f t="shared" si="28"/>
        <v>84B</v>
      </c>
      <c r="E219" s="13" t="str">
        <f>VLOOKUP(D:D,工作表2!A:B,2,0)</f>
        <v>敦陽</v>
      </c>
      <c r="F219" s="13" t="str">
        <f>VLOOKUP(D:D,工作表2!A:C,3,0)</f>
        <v>黑</v>
      </c>
      <c r="G219" s="17">
        <v>10311366</v>
      </c>
      <c r="H219" s="17" t="s">
        <v>677</v>
      </c>
      <c r="I219" s="18" t="s">
        <v>692</v>
      </c>
      <c r="J219" s="15">
        <v>30</v>
      </c>
      <c r="K219" s="15">
        <v>3</v>
      </c>
      <c r="L219" s="20">
        <f t="shared" si="29"/>
        <v>0.1</v>
      </c>
      <c r="M219" s="12">
        <v>3</v>
      </c>
      <c r="P219" s="32" t="s">
        <v>500</v>
      </c>
      <c r="Q219" s="23" t="s">
        <v>961</v>
      </c>
      <c r="Y219" s="6"/>
    </row>
    <row r="220" spans="1:25" ht="16.5">
      <c r="A220" s="25">
        <v>46042</v>
      </c>
      <c r="B220" s="29">
        <v>0.62430555555555556</v>
      </c>
      <c r="C220" s="19">
        <v>46045</v>
      </c>
      <c r="D220" s="24" t="str">
        <f t="shared" si="28"/>
        <v>4PW</v>
      </c>
      <c r="E220" s="13" t="str">
        <f>VLOOKUP(D:D,工作表2!A:B,2,0)</f>
        <v>敦陽</v>
      </c>
      <c r="F220" s="13" t="str">
        <f>VLOOKUP(D:D,工作表2!A:C,3,0)</f>
        <v>白</v>
      </c>
      <c r="G220" s="17">
        <v>10312753</v>
      </c>
      <c r="H220" s="17" t="s">
        <v>593</v>
      </c>
      <c r="I220" s="18" t="s">
        <v>601</v>
      </c>
      <c r="J220" s="15">
        <v>40</v>
      </c>
      <c r="K220" s="15">
        <v>3</v>
      </c>
      <c r="L220" s="20">
        <f t="shared" si="29"/>
        <v>7.4999999999999997E-2</v>
      </c>
      <c r="M220" s="12">
        <v>3</v>
      </c>
      <c r="P220" s="32" t="s">
        <v>500</v>
      </c>
      <c r="Q220" s="23"/>
      <c r="Y220" s="6"/>
    </row>
    <row r="221" spans="1:25" ht="16.5">
      <c r="A221" s="25">
        <v>46042</v>
      </c>
      <c r="B221" s="29">
        <v>0.64652777777777781</v>
      </c>
      <c r="C221" s="19">
        <v>46045</v>
      </c>
      <c r="D221" s="24" t="str">
        <f t="shared" si="28"/>
        <v>62R</v>
      </c>
      <c r="E221" s="13" t="str">
        <f>VLOOKUP(D:D,工作表2!A:B,2,0)</f>
        <v>四通行</v>
      </c>
      <c r="F221" s="13" t="str">
        <f>VLOOKUP(D:D,工作表2!A:C,3,0)</f>
        <v>紅</v>
      </c>
      <c r="G221" s="17">
        <v>10310865</v>
      </c>
      <c r="H221" s="17" t="s">
        <v>683</v>
      </c>
      <c r="I221" s="18" t="s">
        <v>698</v>
      </c>
      <c r="J221" s="15">
        <v>30</v>
      </c>
      <c r="K221" s="15">
        <v>10</v>
      </c>
      <c r="L221" s="20">
        <f t="shared" si="29"/>
        <v>0.33333333333333331</v>
      </c>
      <c r="M221" s="12">
        <v>7</v>
      </c>
      <c r="N221" s="12">
        <v>3</v>
      </c>
      <c r="P221" s="32" t="s">
        <v>500</v>
      </c>
      <c r="Q221" s="23"/>
      <c r="Y221" s="6"/>
    </row>
    <row r="222" spans="1:25" ht="16.5">
      <c r="A222" s="25">
        <v>46044</v>
      </c>
      <c r="B222" s="29">
        <v>0.5541666666666667</v>
      </c>
      <c r="C222" s="19">
        <v>46045</v>
      </c>
      <c r="D222" s="24" t="str">
        <f t="shared" si="28"/>
        <v>EHL</v>
      </c>
      <c r="E222" s="13" t="str">
        <f>VLOOKUP(D:D,工作表2!A:B,2,0)</f>
        <v>建榮</v>
      </c>
      <c r="F222" s="13" t="str">
        <f>VLOOKUP(D:D,工作表2!A:C,3,0)</f>
        <v>藍</v>
      </c>
      <c r="G222" s="17">
        <v>10310866</v>
      </c>
      <c r="H222" s="17" t="s">
        <v>684</v>
      </c>
      <c r="I222" s="18" t="s">
        <v>699</v>
      </c>
      <c r="J222" s="15">
        <v>30</v>
      </c>
      <c r="K222" s="15">
        <v>5</v>
      </c>
      <c r="L222" s="20">
        <f t="shared" si="29"/>
        <v>0.16666666666666666</v>
      </c>
      <c r="M222" s="12">
        <v>4</v>
      </c>
      <c r="N222" s="12">
        <v>1</v>
      </c>
      <c r="P222" s="32" t="s">
        <v>500</v>
      </c>
      <c r="Q222" s="23"/>
      <c r="Y222" s="6"/>
    </row>
    <row r="223" spans="1:25" ht="16.5">
      <c r="A223" s="25">
        <v>46042</v>
      </c>
      <c r="B223" s="29">
        <v>0.62361111111111112</v>
      </c>
      <c r="C223" s="19">
        <v>46045</v>
      </c>
      <c r="D223" s="24" t="str">
        <f t="shared" si="28"/>
        <v>BBB</v>
      </c>
      <c r="E223" s="13" t="str">
        <f>VLOOKUP(D:D,工作表2!A:B,2,0)</f>
        <v>邦善</v>
      </c>
      <c r="F223" s="13" t="str">
        <f>VLOOKUP(D:D,工作表2!A:C,3,0)</f>
        <v>霧面黑</v>
      </c>
      <c r="G223" s="17">
        <v>10311413</v>
      </c>
      <c r="H223" s="17" t="s">
        <v>578</v>
      </c>
      <c r="I223" s="18" t="s">
        <v>580</v>
      </c>
      <c r="J223" s="15">
        <v>80</v>
      </c>
      <c r="K223" s="15">
        <v>10</v>
      </c>
      <c r="L223" s="20">
        <f t="shared" si="29"/>
        <v>0.125</v>
      </c>
      <c r="M223" s="12">
        <v>6</v>
      </c>
      <c r="N223" s="12">
        <v>4</v>
      </c>
      <c r="P223" s="32" t="s">
        <v>500</v>
      </c>
      <c r="Q223" s="23"/>
      <c r="Y223" s="6"/>
    </row>
    <row r="224" spans="1:25" ht="16.5">
      <c r="A224" s="25">
        <v>46042</v>
      </c>
      <c r="B224" s="29">
        <v>0.64652777777777781</v>
      </c>
      <c r="C224" s="19">
        <v>46045</v>
      </c>
      <c r="D224" s="24" t="str">
        <f t="shared" si="28"/>
        <v>62R</v>
      </c>
      <c r="E224" s="13" t="str">
        <f>VLOOKUP(D:D,工作表2!A:B,2,0)</f>
        <v>四通行</v>
      </c>
      <c r="F224" s="13" t="str">
        <f>VLOOKUP(D:D,工作表2!A:C,3,0)</f>
        <v>紅</v>
      </c>
      <c r="G224" s="17">
        <v>10310864</v>
      </c>
      <c r="H224" s="17" t="s">
        <v>682</v>
      </c>
      <c r="I224" s="18" t="s">
        <v>697</v>
      </c>
      <c r="J224" s="15">
        <v>30</v>
      </c>
      <c r="K224" s="15">
        <v>5</v>
      </c>
      <c r="L224" s="20">
        <f t="shared" si="29"/>
        <v>0.16666666666666666</v>
      </c>
      <c r="M224" s="12">
        <v>3</v>
      </c>
      <c r="N224" s="12">
        <v>2</v>
      </c>
      <c r="P224" s="32" t="s">
        <v>500</v>
      </c>
      <c r="Q224" s="23"/>
      <c r="Y224" s="6"/>
    </row>
    <row r="225" spans="1:25" ht="16.5">
      <c r="A225" s="25">
        <v>46037</v>
      </c>
      <c r="B225" s="29">
        <v>0.56041666666666667</v>
      </c>
      <c r="C225" s="11">
        <v>46048</v>
      </c>
      <c r="D225" s="24" t="str">
        <f t="shared" ref="D225:D235" si="30">RIGHT(I225,3)</f>
        <v>NBB</v>
      </c>
      <c r="E225" s="13" t="str">
        <f>VLOOKUP(D:D,工作表2!A:B,2,0)</f>
        <v>邦善</v>
      </c>
      <c r="F225" s="13" t="str">
        <f>VLOOKUP(D:D,工作表2!A:C,3,0)</f>
        <v>霧面黑</v>
      </c>
      <c r="G225" s="17">
        <v>10309335</v>
      </c>
      <c r="H225" s="17" t="s">
        <v>369</v>
      </c>
      <c r="I225" s="18" t="s">
        <v>371</v>
      </c>
      <c r="J225" s="15">
        <v>2128</v>
      </c>
      <c r="K225" s="15">
        <v>235</v>
      </c>
      <c r="L225" s="20">
        <f t="shared" ref="L225:L235" si="31">K225/J225</f>
        <v>0.11043233082706767</v>
      </c>
      <c r="M225" s="12">
        <v>219</v>
      </c>
      <c r="N225" s="12">
        <v>16</v>
      </c>
      <c r="P225" s="32" t="s">
        <v>500</v>
      </c>
      <c r="Q225" s="23"/>
      <c r="Y225" s="6"/>
    </row>
    <row r="226" spans="1:25" ht="16.5">
      <c r="A226" s="25">
        <v>46041</v>
      </c>
      <c r="B226" s="29">
        <v>0.56388888888888888</v>
      </c>
      <c r="C226" s="19">
        <v>46048</v>
      </c>
      <c r="D226" s="24" t="str">
        <f t="shared" si="30"/>
        <v>NCB</v>
      </c>
      <c r="E226" s="13" t="str">
        <f>VLOOKUP(D:D,工作表2!A:B,2,0)</f>
        <v>邦善</v>
      </c>
      <c r="F226" s="13" t="str">
        <f>VLOOKUP(D:D,工作表2!A:C,3,0)</f>
        <v>黑</v>
      </c>
      <c r="G226" s="17">
        <v>10309340</v>
      </c>
      <c r="H226" s="17" t="s">
        <v>368</v>
      </c>
      <c r="I226" s="18" t="s">
        <v>370</v>
      </c>
      <c r="J226" s="15">
        <v>4788</v>
      </c>
      <c r="K226" s="15">
        <v>457</v>
      </c>
      <c r="L226" s="20">
        <f t="shared" si="31"/>
        <v>9.54469507101086E-2</v>
      </c>
      <c r="M226" s="12">
        <v>334</v>
      </c>
      <c r="N226" s="12">
        <v>123</v>
      </c>
      <c r="P226" s="32" t="s">
        <v>500</v>
      </c>
      <c r="Q226" s="23"/>
      <c r="Y226" s="6"/>
    </row>
    <row r="227" spans="1:25" ht="16.5">
      <c r="A227" s="25">
        <v>46044</v>
      </c>
      <c r="B227" s="29">
        <v>0.44305555555555554</v>
      </c>
      <c r="C227" s="19">
        <v>46048</v>
      </c>
      <c r="D227" s="24" t="str">
        <f t="shared" si="30"/>
        <v>QRB</v>
      </c>
      <c r="E227" s="13" t="str">
        <f>VLOOKUP(D:D,工作表2!A:B,2,0)</f>
        <v>邦善</v>
      </c>
      <c r="F227" s="13" t="str">
        <f>VLOOKUP(D:D,工作表2!A:C,3,0)</f>
        <v>霧面黑</v>
      </c>
      <c r="G227" s="17">
        <v>10312384</v>
      </c>
      <c r="H227" s="17" t="s">
        <v>170</v>
      </c>
      <c r="I227" s="18" t="s">
        <v>171</v>
      </c>
      <c r="J227" s="15">
        <v>25802</v>
      </c>
      <c r="K227" s="15">
        <v>861</v>
      </c>
      <c r="L227" s="20">
        <f t="shared" si="31"/>
        <v>3.3369506239826367E-2</v>
      </c>
      <c r="M227" s="12">
        <v>427</v>
      </c>
      <c r="N227" s="12">
        <v>419</v>
      </c>
      <c r="O227" s="15">
        <v>15</v>
      </c>
      <c r="P227" s="32" t="s">
        <v>500</v>
      </c>
      <c r="Q227" s="23"/>
      <c r="Y227" s="6"/>
    </row>
    <row r="228" spans="1:25" ht="16.5">
      <c r="A228" s="25">
        <v>46045</v>
      </c>
      <c r="B228" s="29">
        <v>0.45069444444444445</v>
      </c>
      <c r="C228" s="19">
        <v>46048</v>
      </c>
      <c r="D228" s="24" t="str">
        <f t="shared" si="30"/>
        <v>XCB</v>
      </c>
      <c r="E228" s="13" t="str">
        <f>VLOOKUP(D:D,工作表2!A:B,2,0)</f>
        <v>邦善</v>
      </c>
      <c r="F228" s="13" t="str">
        <f>VLOOKUP(D:D,工作表2!A:C,3,0)</f>
        <v>黑</v>
      </c>
      <c r="G228" s="17">
        <v>10312755</v>
      </c>
      <c r="H228" s="17" t="s">
        <v>560</v>
      </c>
      <c r="I228" s="18" t="s">
        <v>568</v>
      </c>
      <c r="J228" s="15">
        <v>840</v>
      </c>
      <c r="K228" s="15">
        <v>108</v>
      </c>
      <c r="L228" s="20">
        <f t="shared" si="31"/>
        <v>0.12857142857142856</v>
      </c>
      <c r="M228" s="12">
        <v>90</v>
      </c>
      <c r="N228" s="12">
        <v>18</v>
      </c>
      <c r="P228" s="32" t="s">
        <v>500</v>
      </c>
      <c r="Q228" s="23"/>
      <c r="Y228" s="6"/>
    </row>
    <row r="229" spans="1:25" ht="16.5">
      <c r="A229" s="25">
        <v>46037</v>
      </c>
      <c r="B229" s="29">
        <v>0.56805555555555554</v>
      </c>
      <c r="C229" s="19">
        <v>46048</v>
      </c>
      <c r="D229" s="24" t="str">
        <f t="shared" si="30"/>
        <v>N8B</v>
      </c>
      <c r="E229" s="13" t="str">
        <f>VLOOKUP(D:D,工作表2!A:B,2,0)</f>
        <v>邦善</v>
      </c>
      <c r="F229" s="13" t="str">
        <f>VLOOKUP(D:D,工作表2!A:C,3,0)</f>
        <v>霧面黑</v>
      </c>
      <c r="G229" s="17">
        <v>10309337</v>
      </c>
      <c r="H229" s="17" t="s">
        <v>5</v>
      </c>
      <c r="I229" s="18" t="s">
        <v>6</v>
      </c>
      <c r="J229" s="15">
        <v>3990</v>
      </c>
      <c r="K229" s="15">
        <v>54</v>
      </c>
      <c r="L229" s="20">
        <f t="shared" si="31"/>
        <v>1.3533834586466165E-2</v>
      </c>
      <c r="M229" s="12">
        <v>51</v>
      </c>
      <c r="N229" s="12">
        <v>3</v>
      </c>
      <c r="P229" s="32" t="s">
        <v>500</v>
      </c>
      <c r="Q229" s="23"/>
      <c r="Y229" s="6"/>
    </row>
    <row r="230" spans="1:25" ht="16.5">
      <c r="A230" s="25">
        <v>46037</v>
      </c>
      <c r="B230" s="29">
        <v>0.55138888888888882</v>
      </c>
      <c r="C230" s="19">
        <v>46048</v>
      </c>
      <c r="D230" s="24" t="str">
        <f t="shared" si="30"/>
        <v>NBB</v>
      </c>
      <c r="E230" s="13" t="str">
        <f>VLOOKUP(D:D,工作表2!A:B,2,0)</f>
        <v>邦善</v>
      </c>
      <c r="F230" s="13" t="str">
        <f>VLOOKUP(D:D,工作表2!A:C,3,0)</f>
        <v>霧面黑</v>
      </c>
      <c r="G230" s="17">
        <v>10305464</v>
      </c>
      <c r="H230" s="17" t="s">
        <v>306</v>
      </c>
      <c r="I230" s="18" t="s">
        <v>307</v>
      </c>
      <c r="J230" s="15">
        <v>2394</v>
      </c>
      <c r="K230" s="15">
        <v>58</v>
      </c>
      <c r="L230" s="20">
        <f t="shared" si="31"/>
        <v>2.4227234753550542E-2</v>
      </c>
      <c r="M230" s="12">
        <v>52</v>
      </c>
      <c r="N230" s="12">
        <v>6</v>
      </c>
      <c r="P230" s="32" t="s">
        <v>500</v>
      </c>
      <c r="Q230" s="23"/>
      <c r="Y230" s="6"/>
    </row>
    <row r="231" spans="1:25" ht="16.5">
      <c r="A231" s="25">
        <v>46042</v>
      </c>
      <c r="B231" s="29">
        <v>0.62777777777777777</v>
      </c>
      <c r="C231" s="19">
        <v>46048</v>
      </c>
      <c r="D231" s="24" t="str">
        <f t="shared" si="30"/>
        <v>Q7N</v>
      </c>
      <c r="E231" s="13" t="str">
        <f>VLOOKUP(D:D,工作表2!A:B,2,0)</f>
        <v>邦善</v>
      </c>
      <c r="F231" s="13" t="str">
        <f>VLOOKUP(D:D,工作表2!A:C,3,0)</f>
        <v>棕</v>
      </c>
      <c r="G231" s="17">
        <v>10312768</v>
      </c>
      <c r="H231" s="17" t="s">
        <v>702</v>
      </c>
      <c r="I231" s="18" t="s">
        <v>703</v>
      </c>
      <c r="J231" s="15">
        <v>480</v>
      </c>
      <c r="K231" s="15">
        <v>37</v>
      </c>
      <c r="L231" s="20">
        <f t="shared" si="31"/>
        <v>7.7083333333333337E-2</v>
      </c>
      <c r="M231" s="12">
        <v>21</v>
      </c>
      <c r="N231" s="12">
        <v>16</v>
      </c>
      <c r="P231" s="32" t="s">
        <v>500</v>
      </c>
      <c r="Q231" s="23"/>
      <c r="Y231" s="6"/>
    </row>
    <row r="232" spans="1:25" ht="16.5">
      <c r="A232" s="25">
        <v>46037</v>
      </c>
      <c r="B232" s="29">
        <v>0.61249999999999993</v>
      </c>
      <c r="C232" s="19">
        <v>46048</v>
      </c>
      <c r="D232" s="24" t="str">
        <f t="shared" si="30"/>
        <v>UUS</v>
      </c>
      <c r="E232" s="13" t="str">
        <f>VLOOKUP(D:D,工作表2!A:B,2,0)</f>
        <v>邦善</v>
      </c>
      <c r="F232" s="13" t="str">
        <f>VLOOKUP(D:D,工作表2!A:C,3,0)</f>
        <v>銀</v>
      </c>
      <c r="G232" s="17">
        <v>10309358</v>
      </c>
      <c r="H232" s="17" t="s">
        <v>540</v>
      </c>
      <c r="I232" s="18" t="s">
        <v>551</v>
      </c>
      <c r="J232" s="15">
        <v>532</v>
      </c>
      <c r="K232" s="15">
        <v>16</v>
      </c>
      <c r="L232" s="20">
        <f t="shared" si="31"/>
        <v>3.007518796992481E-2</v>
      </c>
      <c r="M232" s="12">
        <v>10</v>
      </c>
      <c r="N232" s="12">
        <v>6</v>
      </c>
      <c r="P232" s="32" t="s">
        <v>500</v>
      </c>
      <c r="Q232" s="23"/>
      <c r="Y232" s="6"/>
    </row>
    <row r="233" spans="1:25" ht="16.5">
      <c r="A233" s="25">
        <v>46043</v>
      </c>
      <c r="B233" s="29">
        <v>0.65763888888888888</v>
      </c>
      <c r="C233" s="19">
        <v>46048</v>
      </c>
      <c r="D233" s="24" t="str">
        <f t="shared" si="30"/>
        <v>NEA</v>
      </c>
      <c r="E233" s="13" t="str">
        <f>VLOOKUP(D:D,工作表2!A:B,2,0)</f>
        <v>邦善</v>
      </c>
      <c r="F233" s="13" t="str">
        <f>VLOOKUP(D:D,工作表2!A:C,3,0)</f>
        <v>灰</v>
      </c>
      <c r="G233" s="17">
        <v>10309348</v>
      </c>
      <c r="H233" s="17" t="s">
        <v>563</v>
      </c>
      <c r="I233" s="18" t="s">
        <v>571</v>
      </c>
      <c r="J233" s="15">
        <v>480</v>
      </c>
      <c r="K233" s="15">
        <v>29</v>
      </c>
      <c r="L233" s="20">
        <f t="shared" si="31"/>
        <v>6.0416666666666667E-2</v>
      </c>
      <c r="M233" s="12">
        <v>20</v>
      </c>
      <c r="N233" s="12">
        <v>9</v>
      </c>
      <c r="P233" s="32" t="s">
        <v>500</v>
      </c>
      <c r="Q233" s="23" t="s">
        <v>963</v>
      </c>
      <c r="Y233" s="6"/>
    </row>
    <row r="234" spans="1:25" ht="16.5">
      <c r="A234" s="25">
        <v>46043</v>
      </c>
      <c r="B234" s="29">
        <v>0.66805555555555562</v>
      </c>
      <c r="C234" s="19">
        <v>46048</v>
      </c>
      <c r="D234" s="24" t="str">
        <f t="shared" si="30"/>
        <v>NEA</v>
      </c>
      <c r="E234" s="13" t="str">
        <f>VLOOKUP(D:D,工作表2!A:B,2,0)</f>
        <v>邦善</v>
      </c>
      <c r="F234" s="13" t="str">
        <f>VLOOKUP(D:D,工作表2!A:C,3,0)</f>
        <v>灰</v>
      </c>
      <c r="G234" s="17">
        <v>10309349</v>
      </c>
      <c r="H234" s="17" t="s">
        <v>595</v>
      </c>
      <c r="I234" s="18" t="s">
        <v>603</v>
      </c>
      <c r="J234" s="15">
        <v>480</v>
      </c>
      <c r="K234" s="15">
        <v>51</v>
      </c>
      <c r="L234" s="20">
        <f t="shared" si="31"/>
        <v>0.10625</v>
      </c>
      <c r="M234" s="12">
        <v>44</v>
      </c>
      <c r="N234" s="12">
        <v>7</v>
      </c>
      <c r="P234" s="32" t="s">
        <v>500</v>
      </c>
      <c r="Q234" s="23" t="s">
        <v>962</v>
      </c>
      <c r="Y234" s="6"/>
    </row>
    <row r="235" spans="1:25" ht="16.5">
      <c r="A235" s="25">
        <v>46045</v>
      </c>
      <c r="B235" s="29">
        <v>0.46388888888888885</v>
      </c>
      <c r="C235" s="19">
        <v>46048</v>
      </c>
      <c r="D235" s="24" t="str">
        <f t="shared" si="30"/>
        <v>RDR</v>
      </c>
      <c r="E235" s="13" t="str">
        <f>VLOOKUP(D:D,工作表2!A:B,2,0)</f>
        <v>邦善</v>
      </c>
      <c r="F235" s="13" t="str">
        <f>VLOOKUP(D:D,工作表2!A:C,3,0)</f>
        <v>紅</v>
      </c>
      <c r="G235" s="17">
        <v>10314983</v>
      </c>
      <c r="H235" s="17" t="s">
        <v>664</v>
      </c>
      <c r="I235" s="18" t="s">
        <v>668</v>
      </c>
      <c r="J235" s="15">
        <v>80</v>
      </c>
      <c r="K235" s="15">
        <v>15</v>
      </c>
      <c r="L235" s="20">
        <f t="shared" si="31"/>
        <v>0.1875</v>
      </c>
      <c r="M235" s="12">
        <v>12</v>
      </c>
      <c r="N235" s="12">
        <v>3</v>
      </c>
      <c r="P235" s="32" t="s">
        <v>500</v>
      </c>
      <c r="Q235" s="23" t="s">
        <v>962</v>
      </c>
      <c r="Y235" s="6"/>
    </row>
    <row r="236" spans="1:25" ht="16.5">
      <c r="A236" s="25">
        <v>46048</v>
      </c>
      <c r="B236" s="29">
        <v>0.38958333333333334</v>
      </c>
      <c r="C236" s="11">
        <v>46049</v>
      </c>
      <c r="D236" s="24" t="str">
        <f t="shared" ref="D236:D244" si="32">RIGHT(I236,3)</f>
        <v>QRB</v>
      </c>
      <c r="E236" s="13" t="str">
        <f>VLOOKUP(D:D,工作表2!A:B,2,0)</f>
        <v>邦善</v>
      </c>
      <c r="F236" s="13" t="str">
        <f>VLOOKUP(D:D,工作表2!A:C,3,0)</f>
        <v>霧面黑</v>
      </c>
      <c r="G236" s="17">
        <v>10312385</v>
      </c>
      <c r="H236" s="17" t="s">
        <v>170</v>
      </c>
      <c r="I236" s="18" t="s">
        <v>171</v>
      </c>
      <c r="J236" s="15">
        <v>25802</v>
      </c>
      <c r="K236" s="15">
        <v>875</v>
      </c>
      <c r="L236" s="20">
        <f t="shared" ref="L236:L244" si="33">K236/J236</f>
        <v>3.3912099837221918E-2</v>
      </c>
      <c r="M236" s="12">
        <v>701</v>
      </c>
      <c r="N236" s="12">
        <v>164</v>
      </c>
      <c r="O236" s="15">
        <v>10</v>
      </c>
      <c r="P236" s="32" t="s">
        <v>500</v>
      </c>
      <c r="Q236" s="23"/>
      <c r="Y236" s="6"/>
    </row>
    <row r="237" spans="1:25" ht="16.5">
      <c r="C237" s="19">
        <v>46049</v>
      </c>
      <c r="D237" s="24" t="str">
        <f t="shared" si="32"/>
        <v>VKB</v>
      </c>
      <c r="E237" s="13" t="str">
        <f>VLOOKUP(D:D,工作表2!A:B,2,0)</f>
        <v>華山</v>
      </c>
      <c r="F237" s="13" t="str">
        <f>VLOOKUP(D:D,工作表2!A:C,3,0)</f>
        <v>霧面黑</v>
      </c>
      <c r="G237" s="17">
        <v>10313567</v>
      </c>
      <c r="H237" s="17" t="s">
        <v>542</v>
      </c>
      <c r="I237" s="18" t="s">
        <v>553</v>
      </c>
      <c r="J237" s="15">
        <v>2100</v>
      </c>
      <c r="K237" s="15">
        <v>15</v>
      </c>
      <c r="L237" s="20">
        <f t="shared" si="33"/>
        <v>7.1428571428571426E-3</v>
      </c>
      <c r="M237" s="12">
        <v>12</v>
      </c>
      <c r="N237" s="12">
        <v>3</v>
      </c>
      <c r="P237" s="32" t="s">
        <v>500</v>
      </c>
      <c r="Q237" s="23"/>
      <c r="Y237" s="6"/>
    </row>
    <row r="238" spans="1:25" ht="16.5">
      <c r="A238" s="25">
        <v>46045</v>
      </c>
      <c r="B238" s="29">
        <v>0.45763888888888887</v>
      </c>
      <c r="C238" s="19">
        <v>46049</v>
      </c>
      <c r="D238" s="24" t="str">
        <f t="shared" si="32"/>
        <v>XCB</v>
      </c>
      <c r="E238" s="13" t="str">
        <f>VLOOKUP(D:D,工作表2!A:B,2,0)</f>
        <v>邦善</v>
      </c>
      <c r="F238" s="13" t="str">
        <f>VLOOKUP(D:D,工作表2!A:C,3,0)</f>
        <v>黑</v>
      </c>
      <c r="G238" s="17">
        <v>10312806</v>
      </c>
      <c r="H238" s="17" t="s">
        <v>560</v>
      </c>
      <c r="I238" s="18" t="s">
        <v>568</v>
      </c>
      <c r="J238" s="15">
        <v>700</v>
      </c>
      <c r="K238" s="15">
        <v>67</v>
      </c>
      <c r="L238" s="20">
        <f t="shared" si="33"/>
        <v>9.571428571428571E-2</v>
      </c>
      <c r="M238" s="12">
        <v>50</v>
      </c>
      <c r="N238" s="12">
        <v>17</v>
      </c>
      <c r="P238" s="32" t="s">
        <v>500</v>
      </c>
      <c r="Q238" s="23"/>
      <c r="Y238" s="6"/>
    </row>
    <row r="239" spans="1:25" ht="16.5">
      <c r="A239" s="25">
        <v>46048</v>
      </c>
      <c r="B239" s="29">
        <v>0.60277777777777775</v>
      </c>
      <c r="C239" s="19">
        <v>46049</v>
      </c>
      <c r="D239" s="24" t="str">
        <f t="shared" si="32"/>
        <v>NGW</v>
      </c>
      <c r="E239" s="13" t="str">
        <f>VLOOKUP(D:D,工作表2!A:B,2,0)</f>
        <v>邦善</v>
      </c>
      <c r="F239" s="13" t="str">
        <f>VLOOKUP(D:D,工作表2!A:C,3,0)</f>
        <v>白</v>
      </c>
      <c r="G239" s="17">
        <v>10309356</v>
      </c>
      <c r="H239" s="17" t="s">
        <v>374</v>
      </c>
      <c r="I239" s="18" t="s">
        <v>378</v>
      </c>
      <c r="J239" s="15">
        <v>520</v>
      </c>
      <c r="K239" s="15">
        <v>51</v>
      </c>
      <c r="L239" s="20">
        <f t="shared" si="33"/>
        <v>9.8076923076923075E-2</v>
      </c>
      <c r="M239" s="12">
        <v>35</v>
      </c>
      <c r="N239" s="12">
        <v>16</v>
      </c>
      <c r="P239" s="32" t="s">
        <v>500</v>
      </c>
      <c r="Q239" s="23" t="s">
        <v>962</v>
      </c>
      <c r="Y239" s="6"/>
    </row>
    <row r="240" spans="1:25" ht="16.5">
      <c r="A240" s="25">
        <v>46042</v>
      </c>
      <c r="C240" s="19">
        <v>46049</v>
      </c>
      <c r="D240" s="24" t="str">
        <f t="shared" si="32"/>
        <v>NGW</v>
      </c>
      <c r="E240" s="13" t="str">
        <f>VLOOKUP(D:D,工作表2!A:B,2,0)</f>
        <v>邦善</v>
      </c>
      <c r="F240" s="13" t="str">
        <f>VLOOKUP(D:D,工作表2!A:C,3,0)</f>
        <v>白</v>
      </c>
      <c r="G240" s="17">
        <v>10313187</v>
      </c>
      <c r="H240" s="17" t="s">
        <v>561</v>
      </c>
      <c r="I240" s="18" t="s">
        <v>569</v>
      </c>
      <c r="J240" s="15">
        <v>80</v>
      </c>
      <c r="K240" s="15">
        <v>4</v>
      </c>
      <c r="L240" s="20">
        <f t="shared" si="33"/>
        <v>0.05</v>
      </c>
      <c r="M240" s="12">
        <v>3</v>
      </c>
      <c r="N240" s="12">
        <v>1</v>
      </c>
      <c r="P240" s="32" t="s">
        <v>500</v>
      </c>
      <c r="Q240" s="23" t="s">
        <v>963</v>
      </c>
      <c r="Y240" s="6"/>
    </row>
    <row r="241" spans="1:25" ht="16.5">
      <c r="A241" s="25">
        <v>46048</v>
      </c>
      <c r="B241" s="29">
        <v>0.54097222222222219</v>
      </c>
      <c r="C241" s="19">
        <v>46049</v>
      </c>
      <c r="D241" s="24" t="str">
        <f t="shared" si="32"/>
        <v>SZR</v>
      </c>
      <c r="E241" s="13" t="str">
        <f>VLOOKUP(D:D,工作表2!A:B,2,0)</f>
        <v>邦善</v>
      </c>
      <c r="F241" s="13" t="str">
        <f>VLOOKUP(D:D,工作表2!A:C,3,0)</f>
        <v>紅</v>
      </c>
      <c r="G241" s="17">
        <v>10305449</v>
      </c>
      <c r="H241" s="17" t="s">
        <v>706</v>
      </c>
      <c r="I241" s="18" t="s">
        <v>708</v>
      </c>
      <c r="J241" s="15">
        <v>520</v>
      </c>
      <c r="K241" s="15">
        <v>68</v>
      </c>
      <c r="L241" s="20">
        <f t="shared" si="33"/>
        <v>0.13076923076923078</v>
      </c>
      <c r="M241" s="12">
        <v>60</v>
      </c>
      <c r="N241" s="12">
        <v>8</v>
      </c>
      <c r="P241" s="32" t="s">
        <v>500</v>
      </c>
      <c r="Q241" s="23" t="s">
        <v>963</v>
      </c>
      <c r="Y241" s="6"/>
    </row>
    <row r="242" spans="1:25" ht="16.5">
      <c r="A242" s="25">
        <v>46044</v>
      </c>
      <c r="B242" s="29">
        <v>0.57152777777777775</v>
      </c>
      <c r="C242" s="19">
        <v>46049</v>
      </c>
      <c r="D242" s="24" t="str">
        <f t="shared" si="32"/>
        <v>NGW</v>
      </c>
      <c r="E242" s="13" t="str">
        <f>VLOOKUP(D:D,工作表2!A:B,2,0)</f>
        <v>邦善</v>
      </c>
      <c r="F242" s="13" t="str">
        <f>VLOOKUP(D:D,工作表2!A:C,3,0)</f>
        <v>白</v>
      </c>
      <c r="G242" s="17">
        <v>10309359</v>
      </c>
      <c r="H242" s="17" t="s">
        <v>382</v>
      </c>
      <c r="I242" s="18" t="s">
        <v>387</v>
      </c>
      <c r="J242" s="15">
        <v>400</v>
      </c>
      <c r="K242" s="15">
        <v>34</v>
      </c>
      <c r="L242" s="20">
        <f t="shared" si="33"/>
        <v>8.5000000000000006E-2</v>
      </c>
      <c r="M242" s="12">
        <v>30</v>
      </c>
      <c r="N242" s="12">
        <v>4</v>
      </c>
      <c r="P242" s="32" t="s">
        <v>500</v>
      </c>
      <c r="Q242" s="23" t="s">
        <v>963</v>
      </c>
      <c r="Y242" s="6"/>
    </row>
    <row r="243" spans="1:25" ht="16.5">
      <c r="A243" s="25">
        <v>46044</v>
      </c>
      <c r="B243" s="29">
        <v>0.5854166666666667</v>
      </c>
      <c r="C243" s="19">
        <v>46049</v>
      </c>
      <c r="D243" s="24" t="str">
        <f t="shared" si="32"/>
        <v>NGW</v>
      </c>
      <c r="E243" s="13" t="str">
        <f>VLOOKUP(D:D,工作表2!A:B,2,0)</f>
        <v>邦善</v>
      </c>
      <c r="F243" s="13" t="str">
        <f>VLOOKUP(D:D,工作表2!A:C,3,0)</f>
        <v>白</v>
      </c>
      <c r="G243" s="17">
        <v>10309360</v>
      </c>
      <c r="H243" s="17" t="s">
        <v>435</v>
      </c>
      <c r="I243" s="18" t="s">
        <v>437</v>
      </c>
      <c r="J243" s="15">
        <v>400</v>
      </c>
      <c r="K243" s="15">
        <v>33</v>
      </c>
      <c r="L243" s="20">
        <f t="shared" si="33"/>
        <v>8.2500000000000004E-2</v>
      </c>
      <c r="M243" s="12">
        <v>26</v>
      </c>
      <c r="N243" s="12">
        <v>7</v>
      </c>
      <c r="P243" s="32" t="s">
        <v>500</v>
      </c>
      <c r="Q243" s="23" t="s">
        <v>962</v>
      </c>
      <c r="Y243" s="6"/>
    </row>
    <row r="244" spans="1:25" ht="16.5">
      <c r="A244" s="25">
        <v>46048</v>
      </c>
      <c r="B244" s="29">
        <v>0.56041666666666667</v>
      </c>
      <c r="C244" s="19">
        <v>46049</v>
      </c>
      <c r="D244" s="24" t="str">
        <f t="shared" si="32"/>
        <v>64W</v>
      </c>
      <c r="E244" s="13" t="str">
        <f>VLOOKUP(D:D,工作表2!A:B,2,0)</f>
        <v>建榮</v>
      </c>
      <c r="F244" s="13" t="str">
        <f>VLOOKUP(D:D,工作表2!A:C,3,0)</f>
        <v>白</v>
      </c>
      <c r="G244" s="17">
        <v>10310882</v>
      </c>
      <c r="H244" s="17" t="s">
        <v>707</v>
      </c>
      <c r="I244" s="18" t="s">
        <v>709</v>
      </c>
      <c r="J244" s="15">
        <v>30</v>
      </c>
      <c r="K244" s="15">
        <v>4</v>
      </c>
      <c r="L244" s="20">
        <f t="shared" si="33"/>
        <v>0.13333333333333333</v>
      </c>
      <c r="M244" s="12">
        <v>3</v>
      </c>
      <c r="N244" s="12">
        <v>1</v>
      </c>
      <c r="P244" s="32" t="s">
        <v>500</v>
      </c>
      <c r="Q244" s="23"/>
      <c r="Y244" s="6"/>
    </row>
    <row r="245" spans="1:25" ht="16.5">
      <c r="A245" s="25">
        <v>46049</v>
      </c>
      <c r="B245" s="29">
        <v>0.65</v>
      </c>
      <c r="C245" s="11">
        <v>46050</v>
      </c>
      <c r="D245" s="24" t="str">
        <f t="shared" ref="D245:D261" si="34">RIGHT(I245,3)</f>
        <v>KTW</v>
      </c>
      <c r="E245" s="13" t="str">
        <f>VLOOKUP(D:D,工作表2!A:B,2,0)</f>
        <v>邦善</v>
      </c>
      <c r="F245" s="13" t="str">
        <f>VLOOKUP(D:D,工作表2!A:C,3,0)</f>
        <v>白</v>
      </c>
      <c r="G245" s="17">
        <v>10309168</v>
      </c>
      <c r="H245" s="17" t="s">
        <v>713</v>
      </c>
      <c r="I245" s="18" t="s">
        <v>723</v>
      </c>
      <c r="J245" s="15">
        <v>200</v>
      </c>
      <c r="K245" s="15">
        <v>14</v>
      </c>
      <c r="L245" s="20">
        <f t="shared" ref="L245:L261" si="35">K245/J245</f>
        <v>7.0000000000000007E-2</v>
      </c>
      <c r="M245" s="12">
        <v>10</v>
      </c>
      <c r="N245" s="12">
        <v>4</v>
      </c>
      <c r="P245" s="32" t="s">
        <v>500</v>
      </c>
      <c r="Q245" s="23"/>
      <c r="Y245" s="6"/>
    </row>
    <row r="246" spans="1:25">
      <c r="A246" s="25">
        <v>46048</v>
      </c>
      <c r="B246" s="29">
        <v>0.56388888888888888</v>
      </c>
      <c r="C246" s="19">
        <v>46050</v>
      </c>
      <c r="D246" s="24" t="str">
        <f t="shared" si="34"/>
        <v>NGW</v>
      </c>
      <c r="E246" s="13" t="str">
        <f>VLOOKUP(D:D,工作表2!A:B,2,0)</f>
        <v>邦善</v>
      </c>
      <c r="F246" s="13" t="str">
        <f>VLOOKUP(D:D,工作表2!A:C,3,0)</f>
        <v>白</v>
      </c>
      <c r="G246" s="17">
        <v>10309341</v>
      </c>
      <c r="H246" s="17" t="s">
        <v>711</v>
      </c>
      <c r="I246" s="18" t="s">
        <v>722</v>
      </c>
      <c r="J246" s="15">
        <v>2394</v>
      </c>
      <c r="K246" s="15">
        <v>194</v>
      </c>
      <c r="L246" s="20">
        <f t="shared" si="35"/>
        <v>8.1035923141186295E-2</v>
      </c>
      <c r="M246" s="12">
        <v>144</v>
      </c>
      <c r="N246" s="12">
        <v>50</v>
      </c>
      <c r="P246" s="32" t="s">
        <v>724</v>
      </c>
      <c r="Q246" s="23"/>
      <c r="Y246" s="6"/>
    </row>
    <row r="247" spans="1:25">
      <c r="A247" s="25">
        <v>46048</v>
      </c>
      <c r="B247" s="29">
        <v>0.53055555555555556</v>
      </c>
      <c r="C247" s="19">
        <v>46050</v>
      </c>
      <c r="D247" s="24" t="str">
        <f t="shared" si="34"/>
        <v>RCA</v>
      </c>
      <c r="E247" s="13" t="str">
        <f>VLOOKUP(D:D,工作表2!A:B,2,0)</f>
        <v>邦善</v>
      </c>
      <c r="F247" s="13" t="str">
        <f>VLOOKUP(D:D,工作表2!A:C,3,0)</f>
        <v>灰</v>
      </c>
      <c r="G247" s="17">
        <v>10309343</v>
      </c>
      <c r="H247" s="17" t="s">
        <v>402</v>
      </c>
      <c r="I247" s="18" t="s">
        <v>404</v>
      </c>
      <c r="J247" s="15">
        <v>2128</v>
      </c>
      <c r="K247" s="15">
        <v>88</v>
      </c>
      <c r="L247" s="20">
        <f t="shared" si="35"/>
        <v>4.1353383458646614E-2</v>
      </c>
      <c r="M247" s="12">
        <v>50</v>
      </c>
      <c r="N247" s="12">
        <v>38</v>
      </c>
      <c r="P247" s="32" t="s">
        <v>724</v>
      </c>
      <c r="Q247" s="23"/>
      <c r="Y247" s="6"/>
    </row>
    <row r="248" spans="1:25" ht="16.5">
      <c r="C248" s="19">
        <v>46050</v>
      </c>
      <c r="D248" s="24" t="str">
        <f t="shared" si="34"/>
        <v>RRA</v>
      </c>
      <c r="E248" s="13" t="str">
        <f>VLOOKUP(D:D,工作表2!A:B,2,0)</f>
        <v>邦善</v>
      </c>
      <c r="F248" s="13" t="str">
        <f>VLOOKUP(D:D,工作表2!A:C,3,0)</f>
        <v>灰</v>
      </c>
      <c r="G248" s="17">
        <v>10309336</v>
      </c>
      <c r="H248" s="17" t="s">
        <v>544</v>
      </c>
      <c r="I248" s="18" t="s">
        <v>555</v>
      </c>
      <c r="J248" s="15">
        <v>532</v>
      </c>
      <c r="K248" s="15">
        <v>68</v>
      </c>
      <c r="L248" s="20">
        <f t="shared" si="35"/>
        <v>0.12781954887218044</v>
      </c>
      <c r="M248" s="12">
        <v>50</v>
      </c>
      <c r="N248" s="12">
        <v>18</v>
      </c>
      <c r="P248" s="32" t="s">
        <v>500</v>
      </c>
      <c r="Q248" s="23"/>
      <c r="Y248" s="6"/>
    </row>
    <row r="249" spans="1:25">
      <c r="A249" s="25">
        <v>46048</v>
      </c>
      <c r="B249" s="29">
        <v>0.53749999999999998</v>
      </c>
      <c r="C249" s="19">
        <v>46050</v>
      </c>
      <c r="D249" s="24" t="str">
        <f t="shared" si="34"/>
        <v>SZR</v>
      </c>
      <c r="E249" s="13" t="str">
        <f>VLOOKUP(D:D,工作表2!A:B,2,0)</f>
        <v>邦善</v>
      </c>
      <c r="F249" s="13" t="str">
        <f>VLOOKUP(D:D,工作表2!A:C,3,0)</f>
        <v>紅</v>
      </c>
      <c r="G249" s="17">
        <v>10309344</v>
      </c>
      <c r="H249" s="17" t="s">
        <v>403</v>
      </c>
      <c r="I249" s="18" t="s">
        <v>405</v>
      </c>
      <c r="J249" s="15">
        <v>798</v>
      </c>
      <c r="K249" s="15">
        <v>72</v>
      </c>
      <c r="L249" s="20">
        <f t="shared" si="35"/>
        <v>9.0225563909774431E-2</v>
      </c>
      <c r="M249" s="12">
        <v>50</v>
      </c>
      <c r="N249" s="12">
        <v>22</v>
      </c>
      <c r="P249" s="32" t="s">
        <v>724</v>
      </c>
      <c r="Q249" s="23"/>
      <c r="Y249" s="6"/>
    </row>
    <row r="250" spans="1:25">
      <c r="A250" s="25">
        <v>46048</v>
      </c>
      <c r="B250" s="29">
        <v>0.52847222222222223</v>
      </c>
      <c r="C250" s="19">
        <v>46050</v>
      </c>
      <c r="D250" s="24" t="str">
        <f t="shared" si="34"/>
        <v>UUS</v>
      </c>
      <c r="E250" s="13" t="str">
        <f>VLOOKUP(D:D,工作表2!A:B,2,0)</f>
        <v>邦善</v>
      </c>
      <c r="F250" s="13" t="str">
        <f>VLOOKUP(D:D,工作表2!A:C,3,0)</f>
        <v>銀</v>
      </c>
      <c r="G250" s="17">
        <v>10309346</v>
      </c>
      <c r="H250" s="17" t="s">
        <v>418</v>
      </c>
      <c r="I250" s="18" t="s">
        <v>421</v>
      </c>
      <c r="J250" s="15">
        <v>532</v>
      </c>
      <c r="K250" s="15">
        <v>20</v>
      </c>
      <c r="L250" s="20">
        <f t="shared" si="35"/>
        <v>3.7593984962406013E-2</v>
      </c>
      <c r="M250" s="12">
        <v>18</v>
      </c>
      <c r="N250" s="12">
        <v>2</v>
      </c>
      <c r="P250" s="32" t="s">
        <v>724</v>
      </c>
      <c r="Q250" s="23"/>
      <c r="Y250" s="6"/>
    </row>
    <row r="251" spans="1:25" ht="16.5">
      <c r="A251" s="25">
        <v>46049</v>
      </c>
      <c r="B251" s="29">
        <v>0.37638888888888888</v>
      </c>
      <c r="C251" s="19">
        <v>46050</v>
      </c>
      <c r="D251" s="24" t="str">
        <f t="shared" si="34"/>
        <v>QRB</v>
      </c>
      <c r="E251" s="13" t="str">
        <f>VLOOKUP(D:D,工作表2!A:B,2,0)</f>
        <v>邦善</v>
      </c>
      <c r="F251" s="13" t="str">
        <f>VLOOKUP(D:D,工作表2!A:C,3,0)</f>
        <v>霧面黑</v>
      </c>
      <c r="G251" s="17">
        <v>10312386</v>
      </c>
      <c r="H251" s="17" t="s">
        <v>170</v>
      </c>
      <c r="I251" s="18" t="s">
        <v>171</v>
      </c>
      <c r="J251" s="15">
        <v>25802</v>
      </c>
      <c r="K251" s="15">
        <v>851</v>
      </c>
      <c r="L251" s="20">
        <f t="shared" si="35"/>
        <v>3.2981939384543836E-2</v>
      </c>
      <c r="M251" s="12">
        <v>505</v>
      </c>
      <c r="N251" s="12">
        <v>295</v>
      </c>
      <c r="O251" s="15">
        <v>51</v>
      </c>
      <c r="P251" s="32" t="s">
        <v>500</v>
      </c>
      <c r="Q251" s="23"/>
      <c r="Y251" s="6"/>
    </row>
    <row r="252" spans="1:25" ht="16.5">
      <c r="A252" s="25">
        <v>46048</v>
      </c>
      <c r="B252" s="29">
        <v>0.55972222222222223</v>
      </c>
      <c r="C252" s="19">
        <v>46050</v>
      </c>
      <c r="D252" s="24" t="str">
        <f t="shared" si="34"/>
        <v>H3R</v>
      </c>
      <c r="E252" s="13" t="str">
        <f>VLOOKUP(D:D,工作表2!A:B,2,0)</f>
        <v>敦陽</v>
      </c>
      <c r="F252" s="13" t="str">
        <f>VLOOKUP(D:D,工作表2!A:C,3,0)</f>
        <v>紅</v>
      </c>
      <c r="G252" s="17">
        <v>10314042</v>
      </c>
      <c r="H252" s="17" t="s">
        <v>712</v>
      </c>
      <c r="I252" s="18" t="s">
        <v>718</v>
      </c>
      <c r="J252" s="15">
        <v>30</v>
      </c>
      <c r="K252" s="15">
        <v>3</v>
      </c>
      <c r="L252" s="20">
        <f t="shared" si="35"/>
        <v>0.1</v>
      </c>
      <c r="M252" s="12">
        <v>3</v>
      </c>
      <c r="P252" s="32" t="s">
        <v>500</v>
      </c>
      <c r="Q252" s="23"/>
      <c r="Y252" s="6"/>
    </row>
    <row r="253" spans="1:25" ht="16.5">
      <c r="A253" s="25">
        <v>46048</v>
      </c>
      <c r="B253" s="29">
        <v>0.52361111111111114</v>
      </c>
      <c r="C253" s="19">
        <v>46050</v>
      </c>
      <c r="D253" s="24" t="str">
        <f t="shared" si="34"/>
        <v>VPL</v>
      </c>
      <c r="E253" s="13" t="str">
        <f>VLOOKUP(D:D,工作表2!A:B,2,0)</f>
        <v>邦善</v>
      </c>
      <c r="F253" s="13" t="str">
        <f>VLOOKUP(D:D,工作表2!A:C,3,0)</f>
        <v>藍</v>
      </c>
      <c r="G253" s="17">
        <v>10310688</v>
      </c>
      <c r="H253" s="17" t="s">
        <v>325</v>
      </c>
      <c r="I253" s="18" t="s">
        <v>326</v>
      </c>
      <c r="J253" s="15">
        <v>798</v>
      </c>
      <c r="K253" s="15">
        <v>34</v>
      </c>
      <c r="L253" s="20">
        <f t="shared" si="35"/>
        <v>4.2606516290726815E-2</v>
      </c>
      <c r="M253" s="12">
        <v>25</v>
      </c>
      <c r="N253" s="12">
        <v>9</v>
      </c>
      <c r="P253" s="32" t="s">
        <v>500</v>
      </c>
      <c r="Q253" s="23"/>
      <c r="Y253" s="6"/>
    </row>
    <row r="254" spans="1:25" ht="16.5">
      <c r="A254" s="25">
        <v>46048</v>
      </c>
      <c r="B254" s="29">
        <v>0.52361111111111114</v>
      </c>
      <c r="C254" s="19">
        <v>46050</v>
      </c>
      <c r="D254" s="24" t="str">
        <f t="shared" si="34"/>
        <v>VPL</v>
      </c>
      <c r="E254" s="13" t="str">
        <f>VLOOKUP(D:D,工作表2!A:B,2,0)</f>
        <v>邦善</v>
      </c>
      <c r="F254" s="13" t="str">
        <f>VLOOKUP(D:D,工作表2!A:C,3,0)</f>
        <v>藍</v>
      </c>
      <c r="G254" s="17">
        <v>10310687</v>
      </c>
      <c r="H254" s="17" t="s">
        <v>325</v>
      </c>
      <c r="I254" s="18" t="s">
        <v>326</v>
      </c>
      <c r="J254" s="15">
        <v>532</v>
      </c>
      <c r="K254" s="15">
        <v>24</v>
      </c>
      <c r="L254" s="20">
        <f t="shared" si="35"/>
        <v>4.5112781954887216E-2</v>
      </c>
      <c r="M254" s="12">
        <v>18</v>
      </c>
      <c r="N254" s="12">
        <v>6</v>
      </c>
      <c r="P254" s="32" t="s">
        <v>500</v>
      </c>
      <c r="Q254" s="23"/>
      <c r="Y254" s="6"/>
    </row>
    <row r="255" spans="1:25" ht="16.5">
      <c r="A255" s="25">
        <v>46048</v>
      </c>
      <c r="B255" s="29">
        <v>0.61527777777777781</v>
      </c>
      <c r="C255" s="19">
        <v>46050</v>
      </c>
      <c r="D255" s="24" t="str">
        <f t="shared" si="34"/>
        <v>NGW</v>
      </c>
      <c r="E255" s="13" t="str">
        <f>VLOOKUP(D:D,工作表2!A:B,2,0)</f>
        <v>邦善</v>
      </c>
      <c r="F255" s="13" t="str">
        <f>VLOOKUP(D:D,工作表2!A:C,3,0)</f>
        <v>白</v>
      </c>
      <c r="G255" s="17">
        <v>10308448</v>
      </c>
      <c r="H255" s="17" t="s">
        <v>714</v>
      </c>
      <c r="I255" s="18" t="s">
        <v>717</v>
      </c>
      <c r="J255" s="15">
        <v>240</v>
      </c>
      <c r="K255" s="15">
        <v>34</v>
      </c>
      <c r="L255" s="20">
        <f t="shared" si="35"/>
        <v>0.14166666666666666</v>
      </c>
      <c r="M255" s="12">
        <v>30</v>
      </c>
      <c r="N255" s="12">
        <v>4</v>
      </c>
      <c r="P255" s="32" t="s">
        <v>500</v>
      </c>
      <c r="Q255" s="23" t="s">
        <v>963</v>
      </c>
      <c r="Y255" s="6"/>
    </row>
    <row r="256" spans="1:25" ht="16.5">
      <c r="A256" s="25">
        <v>46048</v>
      </c>
      <c r="B256" s="29">
        <v>0.62152777777777779</v>
      </c>
      <c r="C256" s="19">
        <v>46050</v>
      </c>
      <c r="D256" s="24" t="str">
        <f t="shared" si="34"/>
        <v>NGW</v>
      </c>
      <c r="E256" s="13" t="str">
        <f>VLOOKUP(D:D,工作表2!A:B,2,0)</f>
        <v>邦善</v>
      </c>
      <c r="F256" s="13" t="str">
        <f>VLOOKUP(D:D,工作表2!A:C,3,0)</f>
        <v>白</v>
      </c>
      <c r="G256" s="17">
        <v>10309352</v>
      </c>
      <c r="H256" s="17" t="s">
        <v>715</v>
      </c>
      <c r="I256" s="18" t="s">
        <v>720</v>
      </c>
      <c r="J256" s="15">
        <v>440</v>
      </c>
      <c r="K256" s="15">
        <v>32</v>
      </c>
      <c r="L256" s="20">
        <f t="shared" si="35"/>
        <v>7.2727272727272724E-2</v>
      </c>
      <c r="M256" s="12">
        <v>28</v>
      </c>
      <c r="N256" s="12">
        <v>4</v>
      </c>
      <c r="P256" s="32" t="s">
        <v>500</v>
      </c>
      <c r="Q256" s="23" t="s">
        <v>963</v>
      </c>
      <c r="Y256" s="6"/>
    </row>
    <row r="257" spans="1:25" ht="16.5">
      <c r="A257" s="25">
        <v>46048</v>
      </c>
      <c r="B257" s="29">
        <v>0.5756944444444444</v>
      </c>
      <c r="C257" s="19">
        <v>46050</v>
      </c>
      <c r="D257" s="24" t="str">
        <f t="shared" si="34"/>
        <v>NGW</v>
      </c>
      <c r="E257" s="13" t="str">
        <f>VLOOKUP(D:D,工作表2!A:B,2,0)</f>
        <v>邦善</v>
      </c>
      <c r="F257" s="13" t="str">
        <f>VLOOKUP(D:D,工作表2!A:C,3,0)</f>
        <v>白</v>
      </c>
      <c r="G257" s="17">
        <v>10309357</v>
      </c>
      <c r="H257" s="17" t="s">
        <v>426</v>
      </c>
      <c r="I257" s="18" t="s">
        <v>431</v>
      </c>
      <c r="J257" s="15">
        <v>560</v>
      </c>
      <c r="K257" s="15">
        <v>50</v>
      </c>
      <c r="L257" s="20">
        <f t="shared" si="35"/>
        <v>8.9285714285714288E-2</v>
      </c>
      <c r="M257" s="12">
        <v>45</v>
      </c>
      <c r="N257" s="12">
        <v>5</v>
      </c>
      <c r="P257" s="32" t="s">
        <v>500</v>
      </c>
      <c r="Q257" s="23" t="s">
        <v>963</v>
      </c>
      <c r="Y257" s="6"/>
    </row>
    <row r="258" spans="1:25" ht="16.5">
      <c r="A258" s="25">
        <v>46044</v>
      </c>
      <c r="B258" s="29">
        <v>0.60972222222222217</v>
      </c>
      <c r="C258" s="19">
        <v>46050</v>
      </c>
      <c r="D258" s="24" t="str">
        <f t="shared" si="34"/>
        <v>NGW</v>
      </c>
      <c r="E258" s="13" t="str">
        <f>VLOOKUP(D:D,工作表2!A:B,2,0)</f>
        <v>邦善</v>
      </c>
      <c r="F258" s="13" t="str">
        <f>VLOOKUP(D:D,工作表2!A:C,3,0)</f>
        <v>白</v>
      </c>
      <c r="G258" s="17">
        <v>10309364</v>
      </c>
      <c r="H258" s="17" t="s">
        <v>372</v>
      </c>
      <c r="I258" s="18" t="s">
        <v>373</v>
      </c>
      <c r="J258" s="15">
        <v>1080</v>
      </c>
      <c r="K258" s="15">
        <v>95</v>
      </c>
      <c r="L258" s="20">
        <f t="shared" si="35"/>
        <v>8.7962962962962965E-2</v>
      </c>
      <c r="M258" s="12">
        <v>70</v>
      </c>
      <c r="N258" s="12">
        <v>25</v>
      </c>
      <c r="P258" s="32" t="s">
        <v>500</v>
      </c>
      <c r="Q258" s="23"/>
      <c r="Y258" s="6"/>
    </row>
    <row r="259" spans="1:25" ht="16.5">
      <c r="A259" s="25">
        <v>46049</v>
      </c>
      <c r="B259" s="29">
        <v>0.60902777777777783</v>
      </c>
      <c r="C259" s="19">
        <v>46050</v>
      </c>
      <c r="D259" s="24" t="str">
        <f t="shared" si="34"/>
        <v>NRR</v>
      </c>
      <c r="E259" s="13" t="str">
        <f>VLOOKUP(D:D,工作表2!A:B,2,0)</f>
        <v>邦善</v>
      </c>
      <c r="F259" s="13" t="str">
        <f>VLOOKUP(D:D,工作表2!A:C,3,0)</f>
        <v>紅</v>
      </c>
      <c r="G259" s="17">
        <v>10309366</v>
      </c>
      <c r="H259" s="17" t="s">
        <v>710</v>
      </c>
      <c r="I259" s="18" t="s">
        <v>721</v>
      </c>
      <c r="J259" s="15">
        <v>200</v>
      </c>
      <c r="K259" s="15">
        <v>22</v>
      </c>
      <c r="L259" s="20">
        <f t="shared" si="35"/>
        <v>0.11</v>
      </c>
      <c r="M259" s="12">
        <v>16</v>
      </c>
      <c r="N259" s="12">
        <v>6</v>
      </c>
      <c r="P259" s="32" t="s">
        <v>500</v>
      </c>
      <c r="Q259" s="23"/>
      <c r="Y259" s="6"/>
    </row>
    <row r="260" spans="1:25" ht="16.5">
      <c r="A260" s="25">
        <v>46049</v>
      </c>
      <c r="B260" s="29">
        <v>0.57013888888888886</v>
      </c>
      <c r="C260" s="19">
        <v>46050</v>
      </c>
      <c r="D260" s="24" t="str">
        <f t="shared" si="34"/>
        <v>QFA</v>
      </c>
      <c r="E260" s="13" t="str">
        <f>VLOOKUP(D:D,工作表2!A:B,2,0)</f>
        <v>邦善</v>
      </c>
      <c r="F260" s="13" t="str">
        <f>VLOOKUP(D:D,工作表2!A:C,3,0)</f>
        <v>灰</v>
      </c>
      <c r="G260" s="17">
        <v>10309327</v>
      </c>
      <c r="H260" s="17" t="s">
        <v>716</v>
      </c>
      <c r="I260" s="18" t="s">
        <v>719</v>
      </c>
      <c r="J260" s="15">
        <v>240</v>
      </c>
      <c r="K260" s="15">
        <v>11</v>
      </c>
      <c r="L260" s="20">
        <f t="shared" si="35"/>
        <v>4.583333333333333E-2</v>
      </c>
      <c r="M260" s="12">
        <v>7</v>
      </c>
      <c r="N260" s="12">
        <v>4</v>
      </c>
      <c r="P260" s="32" t="s">
        <v>500</v>
      </c>
      <c r="Q260" s="23"/>
      <c r="Y260" s="6"/>
    </row>
    <row r="261" spans="1:25" ht="16.5">
      <c r="A261" s="25">
        <v>46044</v>
      </c>
      <c r="C261" s="19">
        <v>46050</v>
      </c>
      <c r="D261" s="24" t="str">
        <f t="shared" si="34"/>
        <v>NGW</v>
      </c>
      <c r="E261" s="13" t="str">
        <f>VLOOKUP(D:D,工作表2!A:B,2,0)</f>
        <v>邦善</v>
      </c>
      <c r="F261" s="13" t="str">
        <f>VLOOKUP(D:D,工作表2!A:C,3,0)</f>
        <v>白</v>
      </c>
      <c r="G261" s="17">
        <v>10309330</v>
      </c>
      <c r="H261" s="17" t="s">
        <v>521</v>
      </c>
      <c r="I261" s="18" t="s">
        <v>533</v>
      </c>
      <c r="J261" s="15">
        <v>804</v>
      </c>
      <c r="K261" s="15">
        <v>148</v>
      </c>
      <c r="L261" s="20">
        <f t="shared" si="35"/>
        <v>0.18407960199004975</v>
      </c>
      <c r="M261" s="12">
        <v>118</v>
      </c>
      <c r="N261" s="12">
        <v>30</v>
      </c>
      <c r="P261" s="32" t="s">
        <v>500</v>
      </c>
      <c r="Q261" s="23" t="s">
        <v>961</v>
      </c>
      <c r="Y261" s="6"/>
    </row>
    <row r="262" spans="1:25" ht="16.5">
      <c r="A262" s="25">
        <v>46050</v>
      </c>
      <c r="B262" s="29">
        <v>0.62708333333333333</v>
      </c>
      <c r="C262" s="19">
        <v>46051</v>
      </c>
      <c r="D262" s="24" t="str">
        <f t="shared" ref="D262:D284" si="36">RIGHT(I262,3)</f>
        <v>KTW</v>
      </c>
      <c r="E262" s="13" t="str">
        <f>VLOOKUP(D:D,工作表2!A:B,2,0)</f>
        <v>邦善</v>
      </c>
      <c r="F262" s="13" t="str">
        <f>VLOOKUP(D:D,工作表2!A:C,3,0)</f>
        <v>白</v>
      </c>
      <c r="G262" s="17">
        <v>10315439</v>
      </c>
      <c r="H262" s="17" t="s">
        <v>713</v>
      </c>
      <c r="I262" s="18" t="s">
        <v>723</v>
      </c>
      <c r="J262" s="15">
        <v>80</v>
      </c>
      <c r="K262" s="15">
        <v>10</v>
      </c>
      <c r="L262" s="20">
        <f t="shared" ref="L262:L284" si="37">K262/J262</f>
        <v>0.125</v>
      </c>
      <c r="M262" s="12">
        <v>8</v>
      </c>
      <c r="N262" s="12">
        <v>2</v>
      </c>
      <c r="P262" s="32" t="s">
        <v>500</v>
      </c>
      <c r="Q262" s="23"/>
      <c r="Y262" s="6"/>
    </row>
    <row r="263" spans="1:25" ht="16.5">
      <c r="A263" s="25">
        <v>46050</v>
      </c>
      <c r="B263" s="29">
        <v>0.38263888888888892</v>
      </c>
      <c r="C263" s="19">
        <v>46051</v>
      </c>
      <c r="D263" s="24" t="str">
        <f t="shared" si="36"/>
        <v>QUW</v>
      </c>
      <c r="E263" s="13" t="str">
        <f>VLOOKUP(D:D,工作表2!A:B,2,0)</f>
        <v>邦善</v>
      </c>
      <c r="F263" s="13" t="str">
        <f>VLOOKUP(D:D,工作表2!A:C,3,0)</f>
        <v>白</v>
      </c>
      <c r="G263" s="17">
        <v>10312406</v>
      </c>
      <c r="H263" s="17" t="s">
        <v>634</v>
      </c>
      <c r="I263" s="18" t="s">
        <v>640</v>
      </c>
      <c r="J263" s="15">
        <v>15162</v>
      </c>
      <c r="K263" s="15">
        <v>631</v>
      </c>
      <c r="L263" s="20">
        <f t="shared" si="37"/>
        <v>4.1617200896979289E-2</v>
      </c>
      <c r="M263" s="12">
        <v>549</v>
      </c>
      <c r="N263" s="12">
        <v>82</v>
      </c>
      <c r="P263" s="32" t="s">
        <v>500</v>
      </c>
      <c r="Q263" s="23"/>
      <c r="Y263" s="6"/>
    </row>
    <row r="264" spans="1:25" ht="16.5">
      <c r="A264" s="25">
        <v>46050</v>
      </c>
      <c r="B264" s="29">
        <v>0.46736111111111112</v>
      </c>
      <c r="C264" s="19">
        <v>46051</v>
      </c>
      <c r="D264" s="24" t="str">
        <f t="shared" si="36"/>
        <v>QVA</v>
      </c>
      <c r="E264" s="13" t="str">
        <f>VLOOKUP(D:D,工作表2!A:B,2,0)</f>
        <v>邦善</v>
      </c>
      <c r="F264" s="13" t="str">
        <f>VLOOKUP(D:D,工作表2!A:C,3,0)</f>
        <v>灰</v>
      </c>
      <c r="G264" s="17">
        <v>10312390</v>
      </c>
      <c r="H264" s="17" t="s">
        <v>606</v>
      </c>
      <c r="I264" s="18" t="s">
        <v>608</v>
      </c>
      <c r="J264" s="15">
        <v>2128</v>
      </c>
      <c r="K264" s="15">
        <v>83</v>
      </c>
      <c r="L264" s="20">
        <f t="shared" si="37"/>
        <v>3.9003759398496242E-2</v>
      </c>
      <c r="M264" s="12">
        <v>50</v>
      </c>
      <c r="N264" s="12">
        <v>33</v>
      </c>
      <c r="P264" s="32" t="s">
        <v>500</v>
      </c>
      <c r="Q264" s="23"/>
      <c r="Y264" s="6"/>
    </row>
    <row r="265" spans="1:25" ht="16.5">
      <c r="A265" s="25">
        <v>46050</v>
      </c>
      <c r="B265" s="29">
        <v>0.44305555555555554</v>
      </c>
      <c r="C265" s="19">
        <v>46051</v>
      </c>
      <c r="D265" s="24" t="str">
        <f t="shared" si="36"/>
        <v>QXR</v>
      </c>
      <c r="E265" s="13" t="str">
        <f>VLOOKUP(D:D,工作表2!A:B,2,0)</f>
        <v>邦善</v>
      </c>
      <c r="F265" s="13" t="str">
        <f>VLOOKUP(D:D,工作表2!A:C,3,0)</f>
        <v>紅</v>
      </c>
      <c r="G265" s="17">
        <v>10312391</v>
      </c>
      <c r="H265" s="17" t="s">
        <v>582</v>
      </c>
      <c r="I265" s="18" t="s">
        <v>586</v>
      </c>
      <c r="J265" s="15">
        <v>798</v>
      </c>
      <c r="K265" s="15">
        <v>96</v>
      </c>
      <c r="L265" s="20">
        <f t="shared" si="37"/>
        <v>0.12030075187969924</v>
      </c>
      <c r="M265" s="12">
        <v>93</v>
      </c>
      <c r="N265" s="12">
        <v>3</v>
      </c>
      <c r="P265" s="32" t="s">
        <v>500</v>
      </c>
      <c r="Q265" s="23"/>
      <c r="Y265" s="6"/>
    </row>
    <row r="266" spans="1:25" ht="16.5">
      <c r="A266" s="25">
        <v>46050</v>
      </c>
      <c r="B266" s="29">
        <v>0.43472222222222223</v>
      </c>
      <c r="C266" s="19">
        <v>46051</v>
      </c>
      <c r="D266" s="24" t="str">
        <f t="shared" si="36"/>
        <v>R2L</v>
      </c>
      <c r="E266" s="13" t="str">
        <f>VLOOKUP(D:D,工作表2!A:B,2,0)</f>
        <v>建榮</v>
      </c>
      <c r="F266" s="13" t="str">
        <f>VLOOKUP(D:D,工作表2!A:C,3,0)</f>
        <v>藍</v>
      </c>
      <c r="G266" s="17">
        <v>10312409</v>
      </c>
      <c r="H266" s="17" t="s">
        <v>584</v>
      </c>
      <c r="I266" s="18" t="s">
        <v>588</v>
      </c>
      <c r="J266" s="15">
        <v>1596</v>
      </c>
      <c r="K266" s="15">
        <v>95</v>
      </c>
      <c r="L266" s="20">
        <f t="shared" si="37"/>
        <v>5.9523809523809521E-2</v>
      </c>
      <c r="M266" s="12">
        <v>65</v>
      </c>
      <c r="N266" s="12">
        <v>30</v>
      </c>
      <c r="P266" s="32" t="s">
        <v>500</v>
      </c>
      <c r="Q266" s="23"/>
      <c r="Y266" s="6"/>
    </row>
    <row r="267" spans="1:25" ht="16.5">
      <c r="A267" s="25">
        <v>46050</v>
      </c>
      <c r="B267" s="29">
        <v>0.47638888888888892</v>
      </c>
      <c r="C267" s="19">
        <v>46051</v>
      </c>
      <c r="D267" s="24" t="str">
        <f t="shared" si="36"/>
        <v>RZG</v>
      </c>
      <c r="E267" s="13" t="str">
        <f>VLOOKUP(D:D,工作表2!A:B,2,0)</f>
        <v>邦善</v>
      </c>
      <c r="F267" s="13" t="str">
        <f>VLOOKUP(D:D,工作表2!A:C,3,0)</f>
        <v>綠</v>
      </c>
      <c r="G267" s="17">
        <v>10312415</v>
      </c>
      <c r="H267" s="17" t="s">
        <v>406</v>
      </c>
      <c r="I267" s="18" t="s">
        <v>409</v>
      </c>
      <c r="J267" s="15">
        <v>1596</v>
      </c>
      <c r="K267" s="15">
        <v>126</v>
      </c>
      <c r="L267" s="20">
        <f t="shared" si="37"/>
        <v>7.8947368421052627E-2</v>
      </c>
      <c r="M267" s="12">
        <v>120</v>
      </c>
      <c r="N267" s="12">
        <v>6</v>
      </c>
      <c r="P267" s="32" t="s">
        <v>500</v>
      </c>
      <c r="Q267" s="23"/>
      <c r="Y267" s="6"/>
    </row>
    <row r="268" spans="1:25" ht="16.5">
      <c r="A268" s="25">
        <v>46050</v>
      </c>
      <c r="B268" s="29">
        <v>0.4513888888888889</v>
      </c>
      <c r="C268" s="19">
        <v>46051</v>
      </c>
      <c r="D268" s="24" t="str">
        <f t="shared" si="36"/>
        <v>SAA</v>
      </c>
      <c r="E268" s="13" t="str">
        <f>VLOOKUP(D:D,工作表2!A:B,2,0)</f>
        <v>邦善</v>
      </c>
      <c r="F268" s="13" t="str">
        <f>VLOOKUP(D:D,工作表2!A:C,3,0)</f>
        <v>灰</v>
      </c>
      <c r="G268" s="17">
        <v>10312417</v>
      </c>
      <c r="H268" s="17" t="s">
        <v>619</v>
      </c>
      <c r="I268" s="18" t="s">
        <v>628</v>
      </c>
      <c r="J268" s="15">
        <v>4522</v>
      </c>
      <c r="K268" s="15">
        <v>167</v>
      </c>
      <c r="L268" s="20">
        <f t="shared" si="37"/>
        <v>3.6930561698363555E-2</v>
      </c>
      <c r="M268" s="12">
        <v>154</v>
      </c>
      <c r="N268" s="12">
        <v>13</v>
      </c>
      <c r="P268" s="32" t="s">
        <v>500</v>
      </c>
      <c r="Q268" s="23"/>
      <c r="Y268" s="6"/>
    </row>
    <row r="269" spans="1:25" ht="16.5">
      <c r="A269" s="25">
        <v>46043</v>
      </c>
      <c r="B269" s="29">
        <v>0.58402777777777781</v>
      </c>
      <c r="C269" s="19">
        <v>46051</v>
      </c>
      <c r="D269" s="24" t="str">
        <f t="shared" si="36"/>
        <v>PTS</v>
      </c>
      <c r="E269" s="13" t="str">
        <f>VLOOKUP(D:D,工作表2!A:B,2,0)</f>
        <v>邦善</v>
      </c>
      <c r="F269" s="13" t="str">
        <f>VLOOKUP(D:D,工作表2!A:C,3,0)</f>
        <v>灰</v>
      </c>
      <c r="G269" s="17">
        <v>10312770</v>
      </c>
      <c r="H269" s="17" t="s">
        <v>725</v>
      </c>
      <c r="I269" s="18" t="s">
        <v>732</v>
      </c>
      <c r="J269" s="15">
        <v>420</v>
      </c>
      <c r="K269" s="15">
        <v>2</v>
      </c>
      <c r="L269" s="20">
        <f t="shared" si="37"/>
        <v>4.7619047619047623E-3</v>
      </c>
      <c r="M269" s="12">
        <v>2</v>
      </c>
      <c r="P269" s="32" t="s">
        <v>500</v>
      </c>
      <c r="Q269" s="23"/>
      <c r="Y269" s="6"/>
    </row>
    <row r="270" spans="1:25" ht="16.5">
      <c r="A270" s="25">
        <v>46050</v>
      </c>
      <c r="B270" s="29">
        <v>0.63263888888888886</v>
      </c>
      <c r="C270" s="19">
        <v>46051</v>
      </c>
      <c r="D270" s="24" t="str">
        <f t="shared" si="36"/>
        <v>6HA</v>
      </c>
      <c r="E270" s="13" t="str">
        <f>VLOOKUP(D:D,工作表2!A:B,2,0)</f>
        <v>敦陽</v>
      </c>
      <c r="F270" s="13" t="str">
        <f>VLOOKUP(D:D,工作表2!A:C,3,0)</f>
        <v>灰</v>
      </c>
      <c r="G270" s="17">
        <v>10310308</v>
      </c>
      <c r="H270" s="17" t="s">
        <v>729</v>
      </c>
      <c r="I270" s="18" t="s">
        <v>736</v>
      </c>
      <c r="J270" s="15">
        <v>72</v>
      </c>
      <c r="K270" s="15">
        <v>3</v>
      </c>
      <c r="L270" s="20">
        <f t="shared" si="37"/>
        <v>4.1666666666666664E-2</v>
      </c>
      <c r="M270" s="12">
        <v>3</v>
      </c>
      <c r="P270" s="32" t="s">
        <v>500</v>
      </c>
      <c r="Q270" s="23"/>
      <c r="Y270" s="6"/>
    </row>
    <row r="271" spans="1:25" ht="16.5">
      <c r="A271" s="25">
        <v>46042</v>
      </c>
      <c r="B271" s="29">
        <v>0.62222222222222223</v>
      </c>
      <c r="C271" s="19">
        <v>46051</v>
      </c>
      <c r="D271" s="24" t="str">
        <f t="shared" si="36"/>
        <v>QDW</v>
      </c>
      <c r="E271" s="13" t="str">
        <f>VLOOKUP(D:D,工作表2!A:B,2,0)</f>
        <v>邦善</v>
      </c>
      <c r="F271" s="13" t="str">
        <f>VLOOKUP(D:D,工作表2!A:C,3,0)</f>
        <v>白</v>
      </c>
      <c r="G271" s="17">
        <v>10311310</v>
      </c>
      <c r="H271" s="17" t="s">
        <v>439</v>
      </c>
      <c r="I271" s="18" t="s">
        <v>440</v>
      </c>
      <c r="J271" s="15">
        <v>30</v>
      </c>
      <c r="L271" s="20">
        <f t="shared" si="37"/>
        <v>0</v>
      </c>
      <c r="P271" s="32" t="s">
        <v>500</v>
      </c>
      <c r="Q271" s="23"/>
      <c r="Y271" s="6"/>
    </row>
    <row r="272" spans="1:25" ht="16.5">
      <c r="A272" s="25">
        <v>46050</v>
      </c>
      <c r="B272" s="29">
        <v>0.63124999999999998</v>
      </c>
      <c r="C272" s="19">
        <v>46051</v>
      </c>
      <c r="D272" s="24" t="str">
        <f t="shared" si="36"/>
        <v>6HA</v>
      </c>
      <c r="E272" s="13" t="str">
        <f>VLOOKUP(D:D,工作表2!A:B,2,0)</f>
        <v>敦陽</v>
      </c>
      <c r="F272" s="13" t="str">
        <f>VLOOKUP(D:D,工作表2!A:C,3,0)</f>
        <v>灰</v>
      </c>
      <c r="G272" s="17">
        <v>10314044</v>
      </c>
      <c r="H272" s="17" t="s">
        <v>740</v>
      </c>
      <c r="I272" s="18" t="s">
        <v>742</v>
      </c>
      <c r="J272" s="15">
        <v>21</v>
      </c>
      <c r="K272" s="15">
        <v>1</v>
      </c>
      <c r="L272" s="20">
        <f t="shared" si="37"/>
        <v>4.7619047619047616E-2</v>
      </c>
      <c r="M272" s="12">
        <v>1</v>
      </c>
      <c r="P272" s="32" t="s">
        <v>500</v>
      </c>
      <c r="Q272" s="23"/>
      <c r="Y272" s="6"/>
    </row>
    <row r="273" spans="1:25" ht="16.5">
      <c r="A273" s="25">
        <v>46050</v>
      </c>
      <c r="B273" s="29">
        <v>0.63124999999999998</v>
      </c>
      <c r="C273" s="19">
        <v>46051</v>
      </c>
      <c r="D273" s="24" t="str">
        <f t="shared" si="36"/>
        <v>6HA</v>
      </c>
      <c r="E273" s="13" t="str">
        <f>VLOOKUP(D:D,工作表2!A:B,2,0)</f>
        <v>敦陽</v>
      </c>
      <c r="F273" s="13" t="str">
        <f>VLOOKUP(D:D,工作表2!A:C,3,0)</f>
        <v>灰</v>
      </c>
      <c r="G273" s="17">
        <v>10311364</v>
      </c>
      <c r="H273" s="17" t="s">
        <v>740</v>
      </c>
      <c r="I273" s="18" t="s">
        <v>742</v>
      </c>
      <c r="J273" s="15">
        <v>40</v>
      </c>
      <c r="L273" s="20">
        <f t="shared" si="37"/>
        <v>0</v>
      </c>
      <c r="P273" s="32" t="s">
        <v>500</v>
      </c>
      <c r="Q273" s="23"/>
      <c r="Y273" s="6"/>
    </row>
    <row r="274" spans="1:25" ht="16.5">
      <c r="A274" s="25">
        <v>46050</v>
      </c>
      <c r="B274" s="29">
        <v>0.62986111111111109</v>
      </c>
      <c r="C274" s="19">
        <v>46051</v>
      </c>
      <c r="D274" s="24" t="str">
        <f t="shared" si="36"/>
        <v>KTW</v>
      </c>
      <c r="E274" s="13" t="str">
        <f>VLOOKUP(D:D,工作表2!A:B,2,0)</f>
        <v>邦善</v>
      </c>
      <c r="F274" s="13" t="str">
        <f>VLOOKUP(D:D,工作表2!A:C,3,0)</f>
        <v>白</v>
      </c>
      <c r="G274" s="17">
        <v>10309225</v>
      </c>
      <c r="H274" s="17" t="s">
        <v>741</v>
      </c>
      <c r="I274" s="18" t="s">
        <v>743</v>
      </c>
      <c r="J274" s="15">
        <v>30</v>
      </c>
      <c r="K274" s="15">
        <v>5</v>
      </c>
      <c r="L274" s="20">
        <f t="shared" si="37"/>
        <v>0.16666666666666666</v>
      </c>
      <c r="M274" s="12">
        <v>4</v>
      </c>
      <c r="N274" s="12">
        <v>1</v>
      </c>
      <c r="P274" s="32" t="s">
        <v>500</v>
      </c>
      <c r="Q274" s="23" t="s">
        <v>965</v>
      </c>
      <c r="Y274" s="6"/>
    </row>
    <row r="275" spans="1:25" ht="16.5">
      <c r="A275" s="25">
        <v>46049</v>
      </c>
      <c r="B275" s="29">
        <v>0.54861111111111105</v>
      </c>
      <c r="C275" s="19">
        <v>46051</v>
      </c>
      <c r="D275" s="24" t="str">
        <f t="shared" si="36"/>
        <v>NQB</v>
      </c>
      <c r="E275" s="13" t="str">
        <f>VLOOKUP(D:D,工作表2!A:B,2,0)</f>
        <v>邦善</v>
      </c>
      <c r="F275" s="13" t="str">
        <f>VLOOKUP(D:D,工作表2!A:C,3,0)</f>
        <v>黑</v>
      </c>
      <c r="G275" s="17">
        <v>10309350</v>
      </c>
      <c r="H275" s="17" t="s">
        <v>728</v>
      </c>
      <c r="I275" s="18" t="s">
        <v>735</v>
      </c>
      <c r="J275" s="15">
        <v>160</v>
      </c>
      <c r="K275" s="15">
        <v>28</v>
      </c>
      <c r="L275" s="20">
        <f t="shared" si="37"/>
        <v>0.17499999999999999</v>
      </c>
      <c r="M275" s="12">
        <v>23</v>
      </c>
      <c r="N275" s="12">
        <v>5</v>
      </c>
      <c r="P275" s="32" t="s">
        <v>500</v>
      </c>
      <c r="Q275" s="23" t="s">
        <v>962</v>
      </c>
      <c r="Y275" s="6"/>
    </row>
    <row r="276" spans="1:25" ht="16.5">
      <c r="A276" s="25">
        <v>46049</v>
      </c>
      <c r="B276" s="29">
        <v>0.53819444444444442</v>
      </c>
      <c r="C276" s="19">
        <v>46051</v>
      </c>
      <c r="D276" s="24" t="str">
        <f t="shared" si="36"/>
        <v>NQB</v>
      </c>
      <c r="E276" s="13" t="str">
        <f>VLOOKUP(D:D,工作表2!A:B,2,0)</f>
        <v>邦善</v>
      </c>
      <c r="F276" s="13" t="str">
        <f>VLOOKUP(D:D,工作表2!A:C,3,0)</f>
        <v>黑</v>
      </c>
      <c r="G276" s="17">
        <v>10309353</v>
      </c>
      <c r="H276" s="17" t="s">
        <v>731</v>
      </c>
      <c r="I276" s="18" t="s">
        <v>738</v>
      </c>
      <c r="J276" s="15">
        <v>440</v>
      </c>
      <c r="K276" s="15">
        <v>32</v>
      </c>
      <c r="L276" s="20">
        <f t="shared" si="37"/>
        <v>7.2727272727272724E-2</v>
      </c>
      <c r="M276" s="12">
        <v>24</v>
      </c>
      <c r="N276" s="12">
        <v>8</v>
      </c>
      <c r="P276" s="32" t="s">
        <v>500</v>
      </c>
      <c r="Q276" s="23" t="s">
        <v>963</v>
      </c>
      <c r="Y276" s="6"/>
    </row>
    <row r="277" spans="1:25" ht="16.5">
      <c r="A277" s="25">
        <v>46048</v>
      </c>
      <c r="C277" s="19">
        <v>46051</v>
      </c>
      <c r="D277" s="24" t="str">
        <f t="shared" si="36"/>
        <v>NGW</v>
      </c>
      <c r="E277" s="13" t="str">
        <f>VLOOKUP(D:D,工作表2!A:B,2,0)</f>
        <v>邦善</v>
      </c>
      <c r="F277" s="13" t="str">
        <f>VLOOKUP(D:D,工作表2!A:C,3,0)</f>
        <v>白</v>
      </c>
      <c r="G277" s="17">
        <v>10309372</v>
      </c>
      <c r="H277" s="17" t="s">
        <v>517</v>
      </c>
      <c r="I277" s="18" t="s">
        <v>529</v>
      </c>
      <c r="J277" s="15">
        <v>360</v>
      </c>
      <c r="K277" s="15">
        <v>29</v>
      </c>
      <c r="L277" s="20">
        <f t="shared" si="37"/>
        <v>8.0555555555555561E-2</v>
      </c>
      <c r="M277" s="12">
        <v>24</v>
      </c>
      <c r="N277" s="12">
        <v>5</v>
      </c>
      <c r="P277" s="32" t="s">
        <v>500</v>
      </c>
      <c r="Q277" s="23" t="s">
        <v>962</v>
      </c>
      <c r="Y277" s="6"/>
    </row>
    <row r="278" spans="1:25" ht="16.5">
      <c r="A278" s="25">
        <v>46048</v>
      </c>
      <c r="B278" s="29">
        <v>0.6333333333333333</v>
      </c>
      <c r="C278" s="19">
        <v>46051</v>
      </c>
      <c r="D278" s="24" t="str">
        <f t="shared" si="36"/>
        <v>NGW</v>
      </c>
      <c r="E278" s="13" t="str">
        <f>VLOOKUP(D:D,工作表2!A:B,2,0)</f>
        <v>邦善</v>
      </c>
      <c r="F278" s="13" t="str">
        <f>VLOOKUP(D:D,工作表2!A:C,3,0)</f>
        <v>白</v>
      </c>
      <c r="G278" s="17">
        <v>10309373</v>
      </c>
      <c r="H278" s="17" t="s">
        <v>327</v>
      </c>
      <c r="I278" s="18" t="s">
        <v>328</v>
      </c>
      <c r="J278" s="15">
        <v>320</v>
      </c>
      <c r="K278" s="15">
        <v>26</v>
      </c>
      <c r="L278" s="20">
        <f t="shared" si="37"/>
        <v>8.1250000000000003E-2</v>
      </c>
      <c r="M278" s="12">
        <v>20</v>
      </c>
      <c r="N278" s="12">
        <v>6</v>
      </c>
      <c r="P278" s="32" t="s">
        <v>500</v>
      </c>
      <c r="Q278" s="23" t="s">
        <v>963</v>
      </c>
      <c r="Y278" s="6"/>
    </row>
    <row r="279" spans="1:25" ht="16.5">
      <c r="A279" s="25">
        <v>46049</v>
      </c>
      <c r="B279" s="29">
        <v>0.62152777777777779</v>
      </c>
      <c r="C279" s="19">
        <v>46051</v>
      </c>
      <c r="D279" s="24" t="str">
        <f t="shared" si="36"/>
        <v>NGW</v>
      </c>
      <c r="E279" s="13" t="str">
        <f>VLOOKUP(D:D,工作表2!A:B,2,0)</f>
        <v>邦善</v>
      </c>
      <c r="F279" s="13" t="str">
        <f>VLOOKUP(D:D,工作表2!A:C,3,0)</f>
        <v>白</v>
      </c>
      <c r="G279" s="17">
        <v>10309361</v>
      </c>
      <c r="H279" s="17" t="s">
        <v>579</v>
      </c>
      <c r="I279" s="18" t="s">
        <v>581</v>
      </c>
      <c r="J279" s="15">
        <v>400</v>
      </c>
      <c r="K279" s="15">
        <v>14</v>
      </c>
      <c r="L279" s="20">
        <f t="shared" si="37"/>
        <v>3.5000000000000003E-2</v>
      </c>
      <c r="M279" s="12">
        <v>9</v>
      </c>
      <c r="N279" s="12">
        <v>5</v>
      </c>
      <c r="P279" s="32" t="s">
        <v>500</v>
      </c>
      <c r="Q279" s="23"/>
      <c r="Y279" s="6"/>
    </row>
    <row r="280" spans="1:25" ht="16.5">
      <c r="A280" s="25">
        <v>46049</v>
      </c>
      <c r="B280" s="29">
        <v>0.63194444444444442</v>
      </c>
      <c r="C280" s="19">
        <v>46051</v>
      </c>
      <c r="D280" s="24" t="str">
        <f t="shared" si="36"/>
        <v>NGW</v>
      </c>
      <c r="E280" s="13" t="str">
        <f>VLOOKUP(D:D,工作表2!A:B,2,0)</f>
        <v>邦善</v>
      </c>
      <c r="F280" s="13" t="str">
        <f>VLOOKUP(D:D,工作表2!A:C,3,0)</f>
        <v>白</v>
      </c>
      <c r="G280" s="17">
        <v>10309363</v>
      </c>
      <c r="H280" s="17" t="s">
        <v>377</v>
      </c>
      <c r="I280" s="18" t="s">
        <v>381</v>
      </c>
      <c r="J280" s="15">
        <v>500</v>
      </c>
      <c r="K280" s="15">
        <v>28</v>
      </c>
      <c r="L280" s="20">
        <f t="shared" si="37"/>
        <v>5.6000000000000001E-2</v>
      </c>
      <c r="M280" s="12">
        <v>25</v>
      </c>
      <c r="N280" s="12">
        <v>3</v>
      </c>
      <c r="P280" s="32" t="s">
        <v>500</v>
      </c>
      <c r="Q280" s="23"/>
      <c r="Y280" s="6"/>
    </row>
    <row r="281" spans="1:25" ht="16.5">
      <c r="A281" s="25">
        <v>46044</v>
      </c>
      <c r="B281" s="29">
        <v>0.63750000000000007</v>
      </c>
      <c r="C281" s="19">
        <v>46051</v>
      </c>
      <c r="D281" s="24" t="str">
        <f t="shared" si="36"/>
        <v>NGW</v>
      </c>
      <c r="E281" s="13" t="str">
        <f>VLOOKUP(D:D,工作表2!A:B,2,0)</f>
        <v>邦善</v>
      </c>
      <c r="F281" s="13" t="str">
        <f>VLOOKUP(D:D,工作表2!A:C,3,0)</f>
        <v>白</v>
      </c>
      <c r="G281" s="17">
        <v>10309374</v>
      </c>
      <c r="H281" s="17" t="s">
        <v>385</v>
      </c>
      <c r="I281" s="18" t="s">
        <v>390</v>
      </c>
      <c r="J281" s="15">
        <v>800</v>
      </c>
      <c r="K281" s="15">
        <v>60</v>
      </c>
      <c r="L281" s="20">
        <f t="shared" si="37"/>
        <v>7.4999999999999997E-2</v>
      </c>
      <c r="M281" s="12">
        <v>48</v>
      </c>
      <c r="N281" s="12">
        <v>12</v>
      </c>
      <c r="P281" s="32" t="s">
        <v>500</v>
      </c>
      <c r="Q281" s="23"/>
      <c r="Y281" s="6"/>
    </row>
    <row r="282" spans="1:25">
      <c r="A282" s="25">
        <v>46049</v>
      </c>
      <c r="B282" s="29">
        <v>0.53055555555555556</v>
      </c>
      <c r="C282" s="19">
        <v>46051</v>
      </c>
      <c r="D282" s="24" t="str">
        <f t="shared" si="36"/>
        <v>Q9B</v>
      </c>
      <c r="E282" s="13" t="str">
        <f>VLOOKUP(D:D,工作表2!A:B,2,0)</f>
        <v>邦善</v>
      </c>
      <c r="F282" s="13" t="str">
        <f>VLOOKUP(D:D,工作表2!A:C,3,0)</f>
        <v>黑</v>
      </c>
      <c r="G282" s="17">
        <v>10309370</v>
      </c>
      <c r="H282" s="17" t="s">
        <v>730</v>
      </c>
      <c r="I282" s="18" t="s">
        <v>737</v>
      </c>
      <c r="J282" s="15">
        <v>200</v>
      </c>
      <c r="K282" s="15">
        <v>43</v>
      </c>
      <c r="L282" s="20">
        <f t="shared" si="37"/>
        <v>0.215</v>
      </c>
      <c r="M282" s="12">
        <v>9</v>
      </c>
      <c r="N282" s="12">
        <v>3</v>
      </c>
      <c r="P282" s="32" t="s">
        <v>739</v>
      </c>
      <c r="Q282" s="23" t="s">
        <v>963</v>
      </c>
      <c r="U282" s="12">
        <v>31</v>
      </c>
      <c r="Y282" s="6"/>
    </row>
    <row r="283" spans="1:25" ht="16.5">
      <c r="A283" s="25">
        <v>46049</v>
      </c>
      <c r="B283" s="29">
        <v>0.58402777777777781</v>
      </c>
      <c r="C283" s="19">
        <v>46051</v>
      </c>
      <c r="D283" s="24" t="str">
        <f t="shared" si="36"/>
        <v>QFA</v>
      </c>
      <c r="E283" s="13" t="str">
        <f>VLOOKUP(D:D,工作表2!A:B,2,0)</f>
        <v>邦善</v>
      </c>
      <c r="F283" s="13" t="str">
        <f>VLOOKUP(D:D,工作表2!A:C,3,0)</f>
        <v>灰</v>
      </c>
      <c r="G283" s="17">
        <v>10309326</v>
      </c>
      <c r="H283" s="17" t="s">
        <v>727</v>
      </c>
      <c r="I283" s="18" t="s">
        <v>734</v>
      </c>
      <c r="J283" s="15">
        <v>240</v>
      </c>
      <c r="K283" s="15">
        <v>4</v>
      </c>
      <c r="L283" s="20">
        <f t="shared" si="37"/>
        <v>1.6666666666666666E-2</v>
      </c>
      <c r="M283" s="12">
        <v>3</v>
      </c>
      <c r="N283" s="12">
        <v>1</v>
      </c>
      <c r="P283" s="32" t="s">
        <v>500</v>
      </c>
      <c r="Q283" s="23"/>
      <c r="Y283" s="6"/>
    </row>
    <row r="284" spans="1:25" ht="16.5">
      <c r="A284" s="25">
        <v>46049</v>
      </c>
      <c r="B284" s="29">
        <v>0.5756944444444444</v>
      </c>
      <c r="C284" s="19">
        <v>46051</v>
      </c>
      <c r="D284" s="24" t="str">
        <f t="shared" si="36"/>
        <v>QFA</v>
      </c>
      <c r="E284" s="13" t="str">
        <f>VLOOKUP(D:D,工作表2!A:B,2,0)</f>
        <v>邦善</v>
      </c>
      <c r="F284" s="13" t="str">
        <f>VLOOKUP(D:D,工作表2!A:C,3,0)</f>
        <v>灰</v>
      </c>
      <c r="G284" s="17">
        <v>10309328</v>
      </c>
      <c r="H284" s="17" t="s">
        <v>726</v>
      </c>
      <c r="I284" s="18" t="s">
        <v>733</v>
      </c>
      <c r="J284" s="15">
        <v>280</v>
      </c>
      <c r="K284" s="15">
        <v>7</v>
      </c>
      <c r="L284" s="20">
        <f t="shared" si="37"/>
        <v>2.5000000000000001E-2</v>
      </c>
      <c r="M284" s="12">
        <v>5</v>
      </c>
      <c r="N284" s="12">
        <v>2</v>
      </c>
      <c r="P284" s="32" t="s">
        <v>500</v>
      </c>
      <c r="Q284" s="23" t="s">
        <v>962</v>
      </c>
      <c r="Y284" s="6"/>
    </row>
    <row r="285" spans="1:25" ht="16.5">
      <c r="A285" s="25">
        <v>46049</v>
      </c>
      <c r="B285" s="29">
        <v>0.6069444444444444</v>
      </c>
      <c r="C285" s="19">
        <v>46052</v>
      </c>
      <c r="D285" s="24" t="str">
        <f t="shared" ref="D285:D294" si="38">RIGHT(I285,3)</f>
        <v>XMR</v>
      </c>
      <c r="E285" s="13" t="str">
        <f>VLOOKUP(D:D,工作表2!A:B,2,0)</f>
        <v>敦陽</v>
      </c>
      <c r="F285" s="13" t="str">
        <f>VLOOKUP(D:D,工作表2!A:C,3,0)</f>
        <v>紅</v>
      </c>
      <c r="G285" s="17">
        <v>10312610</v>
      </c>
      <c r="H285" s="17" t="s">
        <v>745</v>
      </c>
      <c r="I285" s="18" t="s">
        <v>748</v>
      </c>
      <c r="J285" s="15">
        <v>30</v>
      </c>
      <c r="K285" s="15">
        <v>3</v>
      </c>
      <c r="L285" s="20">
        <f t="shared" ref="L285:L294" si="39">K285/J285</f>
        <v>0.1</v>
      </c>
      <c r="M285" s="12">
        <v>3</v>
      </c>
      <c r="P285" s="32" t="s">
        <v>500</v>
      </c>
      <c r="Q285" s="23"/>
      <c r="Y285" s="6"/>
    </row>
    <row r="286" spans="1:25" ht="16.5">
      <c r="A286" s="25">
        <v>46051</v>
      </c>
      <c r="B286" s="29">
        <v>0.52916666666666667</v>
      </c>
      <c r="C286" s="19">
        <v>46052</v>
      </c>
      <c r="D286" s="24" t="str">
        <f t="shared" si="38"/>
        <v>PLB</v>
      </c>
      <c r="E286" s="13" t="str">
        <f>VLOOKUP(D:D,工作表2!A:B,2,0)</f>
        <v>邦善</v>
      </c>
      <c r="F286" s="13" t="str">
        <f>VLOOKUP(D:D,工作表2!A:C,3,0)</f>
        <v>霧面黑</v>
      </c>
      <c r="G286" s="17">
        <v>10312760</v>
      </c>
      <c r="H286" s="17" t="s">
        <v>408</v>
      </c>
      <c r="I286" s="18" t="s">
        <v>411</v>
      </c>
      <c r="J286" s="15">
        <v>2394</v>
      </c>
      <c r="K286" s="15">
        <v>32</v>
      </c>
      <c r="L286" s="20">
        <f t="shared" si="39"/>
        <v>1.3366750208855471E-2</v>
      </c>
      <c r="M286" s="12">
        <v>28</v>
      </c>
      <c r="N286" s="12">
        <v>4</v>
      </c>
      <c r="P286" s="32" t="s">
        <v>500</v>
      </c>
      <c r="Q286" s="23"/>
      <c r="Y286" s="6"/>
    </row>
    <row r="287" spans="1:25" ht="16.5">
      <c r="C287" s="19">
        <v>46052</v>
      </c>
      <c r="D287" s="24" t="str">
        <f t="shared" si="38"/>
        <v>RRA</v>
      </c>
      <c r="E287" s="13" t="str">
        <f>VLOOKUP(D:D,工作表2!A:B,2,0)</f>
        <v>邦善</v>
      </c>
      <c r="F287" s="13" t="str">
        <f>VLOOKUP(D:D,工作表2!A:C,3,0)</f>
        <v>灰</v>
      </c>
      <c r="G287" s="17">
        <v>10309336</v>
      </c>
      <c r="H287" s="17" t="s">
        <v>544</v>
      </c>
      <c r="I287" s="18" t="s">
        <v>555</v>
      </c>
      <c r="J287" s="15">
        <v>798</v>
      </c>
      <c r="K287" s="15">
        <v>112</v>
      </c>
      <c r="L287" s="20">
        <f t="shared" si="39"/>
        <v>0.14035087719298245</v>
      </c>
      <c r="M287" s="12">
        <v>95</v>
      </c>
      <c r="N287" s="12">
        <v>17</v>
      </c>
      <c r="P287" s="32" t="s">
        <v>500</v>
      </c>
      <c r="Q287" s="23"/>
      <c r="Y287" s="6"/>
    </row>
    <row r="288" spans="1:25" ht="16.5">
      <c r="A288" s="25">
        <v>46050</v>
      </c>
      <c r="B288" s="29">
        <v>0.52708333333333335</v>
      </c>
      <c r="C288" s="19">
        <v>46052</v>
      </c>
      <c r="D288" s="24" t="str">
        <f t="shared" si="38"/>
        <v>RRA</v>
      </c>
      <c r="E288" s="13" t="str">
        <f>VLOOKUP(D:D,工作表2!A:B,2,0)</f>
        <v>邦善</v>
      </c>
      <c r="F288" s="13" t="str">
        <f>VLOOKUP(D:D,工作表2!A:C,3,0)</f>
        <v>灰</v>
      </c>
      <c r="G288" s="17">
        <v>10310700</v>
      </c>
      <c r="H288" s="17" t="s">
        <v>544</v>
      </c>
      <c r="I288" s="18" t="s">
        <v>555</v>
      </c>
      <c r="J288" s="15">
        <v>1064</v>
      </c>
      <c r="K288" s="15">
        <v>148</v>
      </c>
      <c r="L288" s="20">
        <f t="shared" si="39"/>
        <v>0.13909774436090225</v>
      </c>
      <c r="M288" s="12">
        <v>135</v>
      </c>
      <c r="N288" s="12">
        <v>13</v>
      </c>
      <c r="P288" s="32" t="s">
        <v>500</v>
      </c>
      <c r="Q288" s="23"/>
      <c r="Y288" s="6"/>
    </row>
    <row r="289" spans="1:25" ht="16.5">
      <c r="A289" s="25">
        <v>46050</v>
      </c>
      <c r="B289" s="29">
        <v>0.53402777777777777</v>
      </c>
      <c r="C289" s="19">
        <v>46052</v>
      </c>
      <c r="D289" s="24" t="str">
        <f t="shared" si="38"/>
        <v>SYL</v>
      </c>
      <c r="E289" s="13" t="str">
        <f>VLOOKUP(D:D,工作表2!A:B,2,0)</f>
        <v>邦善</v>
      </c>
      <c r="F289" s="13" t="str">
        <f>VLOOKUP(D:D,工作表2!A:C,3,0)</f>
        <v>藍</v>
      </c>
      <c r="G289" s="17">
        <v>10309345</v>
      </c>
      <c r="H289" s="17" t="s">
        <v>384</v>
      </c>
      <c r="I289" s="18" t="s">
        <v>389</v>
      </c>
      <c r="J289" s="15">
        <v>1064</v>
      </c>
      <c r="K289" s="15">
        <v>106</v>
      </c>
      <c r="L289" s="20">
        <f t="shared" si="39"/>
        <v>9.9624060150375934E-2</v>
      </c>
      <c r="M289" s="12">
        <v>90</v>
      </c>
      <c r="N289" s="12">
        <v>16</v>
      </c>
      <c r="P289" s="32" t="s">
        <v>500</v>
      </c>
      <c r="Q289" s="23"/>
      <c r="Y289" s="6"/>
    </row>
    <row r="290" spans="1:25" ht="16.5">
      <c r="A290" s="25">
        <v>46050</v>
      </c>
      <c r="B290" s="29">
        <v>0.53402777777777777</v>
      </c>
      <c r="C290" s="19">
        <v>46052</v>
      </c>
      <c r="D290" s="24" t="str">
        <f t="shared" si="38"/>
        <v>SYL</v>
      </c>
      <c r="E290" s="13" t="str">
        <f>VLOOKUP(D:D,工作表2!A:B,2,0)</f>
        <v>邦善</v>
      </c>
      <c r="F290" s="13" t="str">
        <f>VLOOKUP(D:D,工作表2!A:C,3,0)</f>
        <v>藍</v>
      </c>
      <c r="G290" s="17">
        <v>10310706</v>
      </c>
      <c r="H290" s="17" t="s">
        <v>384</v>
      </c>
      <c r="I290" s="18" t="s">
        <v>389</v>
      </c>
      <c r="J290" s="15">
        <v>1064</v>
      </c>
      <c r="K290" s="15">
        <v>107</v>
      </c>
      <c r="L290" s="20">
        <f t="shared" si="39"/>
        <v>0.10056390977443609</v>
      </c>
      <c r="M290" s="12">
        <v>80</v>
      </c>
      <c r="N290" s="12">
        <v>27</v>
      </c>
      <c r="P290" s="32" t="s">
        <v>500</v>
      </c>
      <c r="Q290" s="23"/>
      <c r="Y290" s="6"/>
    </row>
    <row r="291" spans="1:25" ht="16.5">
      <c r="A291" s="25">
        <v>46051</v>
      </c>
      <c r="B291" s="29">
        <v>0.38125000000000003</v>
      </c>
      <c r="C291" s="19">
        <v>46052</v>
      </c>
      <c r="D291" s="24" t="str">
        <f t="shared" si="38"/>
        <v>S3B</v>
      </c>
      <c r="E291" s="13" t="str">
        <f>VLOOKUP(D:D,工作表2!A:B,2,0)</f>
        <v>邦善</v>
      </c>
      <c r="F291" s="13" t="str">
        <f>VLOOKUP(D:D,工作表2!A:C,3,0)</f>
        <v>黑</v>
      </c>
      <c r="G291" s="17">
        <v>10312393</v>
      </c>
      <c r="H291" s="17" t="s">
        <v>375</v>
      </c>
      <c r="I291" s="18" t="s">
        <v>379</v>
      </c>
      <c r="J291" s="15">
        <v>14896</v>
      </c>
      <c r="K291" s="15">
        <v>434</v>
      </c>
      <c r="L291" s="20">
        <f t="shared" si="39"/>
        <v>2.913533834586466E-2</v>
      </c>
      <c r="M291" s="12">
        <v>300</v>
      </c>
      <c r="N291" s="12">
        <v>134</v>
      </c>
      <c r="P291" s="32" t="s">
        <v>500</v>
      </c>
      <c r="Q291" s="23"/>
      <c r="Y291" s="6"/>
    </row>
    <row r="292" spans="1:25" ht="16.5">
      <c r="A292" s="25">
        <v>46049</v>
      </c>
      <c r="B292" s="29">
        <v>0.66319444444444442</v>
      </c>
      <c r="C292" s="19">
        <v>46052</v>
      </c>
      <c r="D292" s="24" t="str">
        <f t="shared" si="38"/>
        <v>RRA</v>
      </c>
      <c r="E292" s="13" t="str">
        <f>VLOOKUP(D:D,工作表2!A:B,2,0)</f>
        <v>邦善</v>
      </c>
      <c r="F292" s="13" t="str">
        <f>VLOOKUP(D:D,工作表2!A:C,3,0)</f>
        <v>灰</v>
      </c>
      <c r="G292" s="17">
        <v>10309355</v>
      </c>
      <c r="H292" s="17" t="s">
        <v>746</v>
      </c>
      <c r="I292" s="18" t="s">
        <v>749</v>
      </c>
      <c r="J292" s="15">
        <v>200</v>
      </c>
      <c r="K292" s="15">
        <v>5</v>
      </c>
      <c r="L292" s="20">
        <f t="shared" si="39"/>
        <v>2.5000000000000001E-2</v>
      </c>
      <c r="M292" s="12">
        <v>4</v>
      </c>
      <c r="N292" s="12">
        <v>1</v>
      </c>
      <c r="P292" s="32" t="s">
        <v>500</v>
      </c>
      <c r="Q292" s="23" t="s">
        <v>962</v>
      </c>
      <c r="Y292" s="6"/>
    </row>
    <row r="293" spans="1:25" ht="16.5">
      <c r="A293" s="25">
        <v>46050</v>
      </c>
      <c r="B293" s="29">
        <v>0.55138888888888882</v>
      </c>
      <c r="C293" s="19">
        <v>46052</v>
      </c>
      <c r="D293" s="24" t="str">
        <f t="shared" si="38"/>
        <v>RCA</v>
      </c>
      <c r="E293" s="13" t="str">
        <f>VLOOKUP(D:D,工作表2!A:B,2,0)</f>
        <v>邦善</v>
      </c>
      <c r="F293" s="13" t="str">
        <f>VLOOKUP(D:D,工作表2!A:C,3,0)</f>
        <v>灰</v>
      </c>
      <c r="G293" s="17">
        <v>10313720</v>
      </c>
      <c r="H293" s="17" t="s">
        <v>744</v>
      </c>
      <c r="I293" s="18" t="s">
        <v>747</v>
      </c>
      <c r="J293" s="15">
        <v>360</v>
      </c>
      <c r="K293" s="15">
        <v>32</v>
      </c>
      <c r="L293" s="20">
        <f t="shared" si="39"/>
        <v>8.8888888888888892E-2</v>
      </c>
      <c r="M293" s="12">
        <v>26</v>
      </c>
      <c r="N293" s="12">
        <v>6</v>
      </c>
      <c r="P293" s="32" t="s">
        <v>500</v>
      </c>
      <c r="Q293" s="23" t="s">
        <v>963</v>
      </c>
      <c r="Y293" s="6"/>
    </row>
    <row r="294" spans="1:25" ht="16.5">
      <c r="A294" s="25">
        <v>46049</v>
      </c>
      <c r="B294" s="29">
        <v>0.67291666666666661</v>
      </c>
      <c r="C294" s="19">
        <v>46052</v>
      </c>
      <c r="D294" s="24" t="str">
        <f t="shared" si="38"/>
        <v>RRA</v>
      </c>
      <c r="E294" s="13" t="str">
        <f>VLOOKUP(D:D,工作表2!A:B,2,0)</f>
        <v>邦善</v>
      </c>
      <c r="F294" s="13" t="str">
        <f>VLOOKUP(D:D,工作表2!A:C,3,0)</f>
        <v>灰</v>
      </c>
      <c r="G294" s="17">
        <v>10309365</v>
      </c>
      <c r="H294" s="17" t="s">
        <v>393</v>
      </c>
      <c r="I294" s="18" t="s">
        <v>395</v>
      </c>
      <c r="J294" s="15">
        <v>280</v>
      </c>
      <c r="K294" s="15">
        <v>9</v>
      </c>
      <c r="L294" s="20">
        <f t="shared" si="39"/>
        <v>3.214285714285714E-2</v>
      </c>
      <c r="M294" s="12">
        <v>7</v>
      </c>
      <c r="N294" s="12">
        <v>2</v>
      </c>
      <c r="P294" s="32" t="s">
        <v>500</v>
      </c>
      <c r="Q294" s="23"/>
      <c r="Y294" s="6"/>
    </row>
    <row r="295" spans="1:25" ht="16.5">
      <c r="A295" s="25">
        <v>46052</v>
      </c>
      <c r="B295" s="29">
        <v>0.36805555555555558</v>
      </c>
      <c r="C295" s="11">
        <v>46055</v>
      </c>
      <c r="D295" s="24" t="str">
        <f t="shared" ref="D295:D306" si="40">RIGHT(I295,3)</f>
        <v>QRB</v>
      </c>
      <c r="E295" s="13" t="str">
        <f>VLOOKUP(D:D,工作表2!A:B,2,0)</f>
        <v>邦善</v>
      </c>
      <c r="F295" s="13" t="str">
        <f>VLOOKUP(D:D,工作表2!A:C,3,0)</f>
        <v>霧面黑</v>
      </c>
      <c r="G295" s="17">
        <v>10312394</v>
      </c>
      <c r="H295" s="17" t="s">
        <v>170</v>
      </c>
      <c r="I295" s="18" t="s">
        <v>171</v>
      </c>
      <c r="J295" s="15">
        <v>25802</v>
      </c>
      <c r="K295" s="15">
        <v>643</v>
      </c>
      <c r="L295" s="20">
        <f t="shared" ref="L295:L306" si="41">K295/J295</f>
        <v>2.4920548794667079E-2</v>
      </c>
      <c r="M295" s="12">
        <v>455</v>
      </c>
      <c r="N295" s="12">
        <v>157</v>
      </c>
      <c r="O295" s="15">
        <v>31</v>
      </c>
      <c r="P295" s="32" t="s">
        <v>500</v>
      </c>
      <c r="Q295" s="23"/>
    </row>
    <row r="296" spans="1:25" ht="16.5">
      <c r="A296" s="25">
        <v>46051</v>
      </c>
      <c r="B296" s="29">
        <v>0.43055555555555558</v>
      </c>
      <c r="C296" s="11">
        <v>46055</v>
      </c>
      <c r="D296" s="24" t="str">
        <f t="shared" si="40"/>
        <v>S3B</v>
      </c>
      <c r="E296" s="13" t="str">
        <f>VLOOKUP(D:D,工作表2!A:B,2,0)</f>
        <v>邦善</v>
      </c>
      <c r="F296" s="13" t="str">
        <f>VLOOKUP(D:D,工作表2!A:C,3,0)</f>
        <v>黑</v>
      </c>
      <c r="G296" s="17">
        <v>10312404</v>
      </c>
      <c r="H296" s="17" t="s">
        <v>375</v>
      </c>
      <c r="I296" s="18" t="s">
        <v>379</v>
      </c>
      <c r="J296" s="15">
        <v>11172</v>
      </c>
      <c r="K296" s="15">
        <v>485</v>
      </c>
      <c r="L296" s="20">
        <f t="shared" si="41"/>
        <v>4.3412101682778377E-2</v>
      </c>
      <c r="M296" s="12">
        <v>440</v>
      </c>
      <c r="N296" s="12">
        <v>45</v>
      </c>
      <c r="P296" s="32" t="s">
        <v>500</v>
      </c>
      <c r="Q296" s="23"/>
    </row>
    <row r="297" spans="1:25" ht="16.5">
      <c r="A297" s="25">
        <v>46051</v>
      </c>
      <c r="B297" s="29">
        <v>0.5395833333333333</v>
      </c>
      <c r="C297" s="19">
        <v>46055</v>
      </c>
      <c r="D297" s="24" t="str">
        <f t="shared" si="40"/>
        <v>N8B</v>
      </c>
      <c r="E297" s="13" t="str">
        <f>VLOOKUP(D:D,工作表2!A:B,2,0)</f>
        <v>邦善</v>
      </c>
      <c r="F297" s="13" t="str">
        <f>VLOOKUP(D:D,工作表2!A:C,3,0)</f>
        <v>霧面黑</v>
      </c>
      <c r="G297" s="17">
        <v>10310682</v>
      </c>
      <c r="H297" s="17" t="s">
        <v>5</v>
      </c>
      <c r="I297" s="18" t="s">
        <v>6</v>
      </c>
      <c r="J297" s="15">
        <v>8778</v>
      </c>
      <c r="K297" s="15">
        <v>192</v>
      </c>
      <c r="L297" s="20">
        <f t="shared" si="41"/>
        <v>2.1872863978127138E-2</v>
      </c>
      <c r="M297" s="12">
        <v>155</v>
      </c>
      <c r="N297" s="12">
        <v>37</v>
      </c>
      <c r="P297" s="32" t="s">
        <v>500</v>
      </c>
      <c r="Q297" s="23"/>
    </row>
    <row r="298" spans="1:25" ht="16.5">
      <c r="A298" s="25">
        <v>46051</v>
      </c>
      <c r="B298" s="29">
        <v>0.57708333333333328</v>
      </c>
      <c r="C298" s="19">
        <v>46055</v>
      </c>
      <c r="D298" s="24" t="str">
        <f t="shared" si="40"/>
        <v>NCB</v>
      </c>
      <c r="E298" s="13" t="str">
        <f>VLOOKUP(D:D,工作表2!A:B,2,0)</f>
        <v>邦善</v>
      </c>
      <c r="F298" s="13" t="str">
        <f>VLOOKUP(D:D,工作表2!A:C,3,0)</f>
        <v>黑</v>
      </c>
      <c r="G298" s="17">
        <v>10310680</v>
      </c>
      <c r="H298" s="17" t="s">
        <v>751</v>
      </c>
      <c r="I298" s="18" t="s">
        <v>754</v>
      </c>
      <c r="J298" s="15">
        <v>1596</v>
      </c>
      <c r="K298" s="15">
        <v>73</v>
      </c>
      <c r="L298" s="20">
        <f t="shared" si="41"/>
        <v>4.5739348370927316E-2</v>
      </c>
      <c r="M298" s="12">
        <v>67</v>
      </c>
      <c r="N298" s="12">
        <v>6</v>
      </c>
      <c r="P298" s="32" t="s">
        <v>500</v>
      </c>
      <c r="Q298" s="23"/>
    </row>
    <row r="299" spans="1:25" ht="16.5">
      <c r="A299" s="25">
        <v>46050</v>
      </c>
      <c r="B299" s="29">
        <v>0.61875000000000002</v>
      </c>
      <c r="C299" s="19">
        <v>46055</v>
      </c>
      <c r="D299" s="24" t="str">
        <f t="shared" si="40"/>
        <v>WXL</v>
      </c>
      <c r="E299" s="13" t="str">
        <f>VLOOKUP(D:D,工作表2!A:B,2,0)</f>
        <v>邦善</v>
      </c>
      <c r="F299" s="13" t="str">
        <f>VLOOKUP(D:D,工作表2!A:C,3,0)</f>
        <v>藍</v>
      </c>
      <c r="G299" s="17">
        <v>10309351</v>
      </c>
      <c r="H299" s="17" t="s">
        <v>614</v>
      </c>
      <c r="I299" s="18" t="s">
        <v>623</v>
      </c>
      <c r="J299" s="15">
        <v>280</v>
      </c>
      <c r="K299" s="15">
        <v>45</v>
      </c>
      <c r="L299" s="20">
        <f t="shared" si="41"/>
        <v>0.16071428571428573</v>
      </c>
      <c r="M299" s="12">
        <v>30</v>
      </c>
      <c r="N299" s="12">
        <v>15</v>
      </c>
      <c r="P299" s="32" t="s">
        <v>500</v>
      </c>
      <c r="Q299" s="23" t="s">
        <v>963</v>
      </c>
    </row>
    <row r="300" spans="1:25" ht="16.5">
      <c r="A300" s="25">
        <v>46049</v>
      </c>
      <c r="B300" s="29">
        <v>0.55277777777777781</v>
      </c>
      <c r="C300" s="19">
        <v>46055</v>
      </c>
      <c r="D300" s="24" t="str">
        <f t="shared" si="40"/>
        <v>UUS</v>
      </c>
      <c r="E300" s="13" t="str">
        <f>VLOOKUP(D:D,工作表2!A:B,2,0)</f>
        <v>邦善</v>
      </c>
      <c r="F300" s="13" t="str">
        <f>VLOOKUP(D:D,工作表2!A:C,3,0)</f>
        <v>銀</v>
      </c>
      <c r="G300" s="17">
        <v>10309354</v>
      </c>
      <c r="H300" s="17" t="s">
        <v>674</v>
      </c>
      <c r="I300" s="18" t="s">
        <v>689</v>
      </c>
      <c r="J300" s="15">
        <v>240</v>
      </c>
      <c r="K300" s="15">
        <v>6</v>
      </c>
      <c r="L300" s="20">
        <f t="shared" si="41"/>
        <v>2.5000000000000001E-2</v>
      </c>
      <c r="M300" s="12">
        <v>4</v>
      </c>
      <c r="N300" s="12">
        <v>2</v>
      </c>
      <c r="P300" s="32" t="s">
        <v>500</v>
      </c>
      <c r="Q300" s="23" t="s">
        <v>963</v>
      </c>
    </row>
    <row r="301" spans="1:25" ht="16.5">
      <c r="A301" s="25">
        <v>46050</v>
      </c>
      <c r="B301" s="29">
        <v>0.56527777777777777</v>
      </c>
      <c r="C301" s="19">
        <v>46055</v>
      </c>
      <c r="D301" s="24" t="str">
        <f t="shared" si="40"/>
        <v>RCA</v>
      </c>
      <c r="E301" s="13" t="str">
        <f>VLOOKUP(D:D,工作表2!A:B,2,0)</f>
        <v>邦善</v>
      </c>
      <c r="F301" s="13" t="str">
        <f>VLOOKUP(D:D,工作表2!A:C,3,0)</f>
        <v>灰</v>
      </c>
      <c r="G301" s="17">
        <v>10309347</v>
      </c>
      <c r="H301" s="17" t="s">
        <v>585</v>
      </c>
      <c r="I301" s="18" t="s">
        <v>589</v>
      </c>
      <c r="J301" s="15">
        <v>320</v>
      </c>
      <c r="K301" s="15">
        <v>9</v>
      </c>
      <c r="L301" s="20">
        <f t="shared" si="41"/>
        <v>2.8125000000000001E-2</v>
      </c>
      <c r="M301" s="12">
        <v>7</v>
      </c>
      <c r="N301" s="12">
        <v>2</v>
      </c>
      <c r="P301" s="32" t="s">
        <v>500</v>
      </c>
      <c r="Q301" s="23" t="s">
        <v>963</v>
      </c>
    </row>
    <row r="302" spans="1:25" ht="16.5">
      <c r="A302" s="25">
        <v>46049</v>
      </c>
      <c r="B302" s="29">
        <v>0.47569444444444442</v>
      </c>
      <c r="C302" s="19">
        <v>46055</v>
      </c>
      <c r="D302" s="24" t="str">
        <f t="shared" si="40"/>
        <v>Q9B</v>
      </c>
      <c r="E302" s="13" t="str">
        <f>VLOOKUP(D:D,工作表2!A:B,2,0)</f>
        <v>邦善</v>
      </c>
      <c r="F302" s="13" t="str">
        <f>VLOOKUP(D:D,工作表2!A:C,3,0)</f>
        <v>黑</v>
      </c>
      <c r="G302" s="17">
        <v>10310776</v>
      </c>
      <c r="H302" s="17" t="s">
        <v>516</v>
      </c>
      <c r="I302" s="18" t="s">
        <v>528</v>
      </c>
      <c r="J302" s="15">
        <v>480</v>
      </c>
      <c r="K302" s="15">
        <v>54</v>
      </c>
      <c r="L302" s="20">
        <f t="shared" si="41"/>
        <v>0.1125</v>
      </c>
      <c r="M302" s="12">
        <v>40</v>
      </c>
      <c r="N302" s="12">
        <v>14</v>
      </c>
      <c r="P302" s="32" t="s">
        <v>500</v>
      </c>
      <c r="Q302" s="23" t="s">
        <v>962</v>
      </c>
    </row>
    <row r="303" spans="1:25" ht="16.5">
      <c r="A303" s="25">
        <v>46049</v>
      </c>
      <c r="B303" s="29">
        <v>0.47569444444444442</v>
      </c>
      <c r="C303" s="19">
        <v>46055</v>
      </c>
      <c r="D303" s="24" t="str">
        <f t="shared" si="40"/>
        <v>Q9B</v>
      </c>
      <c r="E303" s="13" t="str">
        <f>VLOOKUP(D:D,工作表2!A:B,2,0)</f>
        <v>邦善</v>
      </c>
      <c r="F303" s="13" t="str">
        <f>VLOOKUP(D:D,工作表2!A:C,3,0)</f>
        <v>黑</v>
      </c>
      <c r="G303" s="17">
        <v>10310775</v>
      </c>
      <c r="H303" s="17" t="s">
        <v>516</v>
      </c>
      <c r="I303" s="18" t="s">
        <v>528</v>
      </c>
      <c r="J303" s="15">
        <v>480</v>
      </c>
      <c r="K303" s="15">
        <v>55</v>
      </c>
      <c r="L303" s="20">
        <f t="shared" si="41"/>
        <v>0.11458333333333333</v>
      </c>
      <c r="M303" s="12">
        <v>35</v>
      </c>
      <c r="N303" s="12">
        <v>20</v>
      </c>
      <c r="P303" s="32" t="s">
        <v>500</v>
      </c>
      <c r="Q303" s="23" t="s">
        <v>962</v>
      </c>
    </row>
    <row r="304" spans="1:25" ht="16.5">
      <c r="A304" s="25">
        <v>46050</v>
      </c>
      <c r="B304" s="29">
        <v>0.54305555555555551</v>
      </c>
      <c r="C304" s="19">
        <v>46055</v>
      </c>
      <c r="D304" s="24" t="str">
        <f t="shared" si="40"/>
        <v>SYL</v>
      </c>
      <c r="E304" s="13" t="str">
        <f>VLOOKUP(D:D,工作表2!A:B,2,0)</f>
        <v>邦善</v>
      </c>
      <c r="F304" s="13" t="str">
        <f>VLOOKUP(D:D,工作表2!A:C,3,0)</f>
        <v>藍</v>
      </c>
      <c r="G304" s="17">
        <v>10309362</v>
      </c>
      <c r="H304" s="17" t="s">
        <v>424</v>
      </c>
      <c r="I304" s="18" t="s">
        <v>429</v>
      </c>
      <c r="J304" s="15">
        <v>280</v>
      </c>
      <c r="K304" s="15">
        <v>23</v>
      </c>
      <c r="L304" s="20">
        <f t="shared" si="41"/>
        <v>8.2142857142857142E-2</v>
      </c>
      <c r="M304" s="12">
        <v>20</v>
      </c>
      <c r="N304" s="12">
        <v>3</v>
      </c>
      <c r="P304" s="32" t="s">
        <v>500</v>
      </c>
      <c r="Q304" s="23"/>
    </row>
    <row r="305" spans="1:17" ht="16.5">
      <c r="A305" s="25">
        <v>46049</v>
      </c>
      <c r="B305" s="29">
        <v>0.59305555555555556</v>
      </c>
      <c r="C305" s="19">
        <v>46055</v>
      </c>
      <c r="D305" s="24" t="str">
        <f t="shared" si="40"/>
        <v>QFA</v>
      </c>
      <c r="E305" s="13" t="str">
        <f>VLOOKUP(D:D,工作表2!A:B,2,0)</f>
        <v>邦善</v>
      </c>
      <c r="F305" s="13" t="str">
        <f>VLOOKUP(D:D,工作表2!A:C,3,0)</f>
        <v>灰</v>
      </c>
      <c r="G305" s="17">
        <v>10310888</v>
      </c>
      <c r="H305" s="17" t="s">
        <v>752</v>
      </c>
      <c r="I305" s="18" t="s">
        <v>755</v>
      </c>
      <c r="J305" s="15">
        <v>520</v>
      </c>
      <c r="K305" s="15">
        <v>29</v>
      </c>
      <c r="L305" s="20">
        <f t="shared" si="41"/>
        <v>5.5769230769230772E-2</v>
      </c>
      <c r="M305" s="12">
        <v>23</v>
      </c>
      <c r="N305" s="12">
        <v>6</v>
      </c>
      <c r="P305" s="32" t="s">
        <v>500</v>
      </c>
      <c r="Q305" s="23"/>
    </row>
    <row r="306" spans="1:17" ht="16.5">
      <c r="A306" s="25">
        <v>46049</v>
      </c>
      <c r="B306" s="29">
        <v>0.66736111111111107</v>
      </c>
      <c r="C306" s="19">
        <v>46055</v>
      </c>
      <c r="D306" s="24" t="str">
        <f t="shared" si="40"/>
        <v>RRA</v>
      </c>
      <c r="E306" s="13" t="str">
        <f>VLOOKUP(D:D,工作表2!A:B,2,0)</f>
        <v>邦善</v>
      </c>
      <c r="F306" s="13" t="str">
        <f>VLOOKUP(D:D,工作表2!A:C,3,0)</f>
        <v>灰</v>
      </c>
      <c r="G306" s="17">
        <v>10309368</v>
      </c>
      <c r="H306" s="17" t="s">
        <v>750</v>
      </c>
      <c r="I306" s="18" t="s">
        <v>753</v>
      </c>
      <c r="J306" s="15">
        <v>280</v>
      </c>
      <c r="K306" s="15">
        <v>17</v>
      </c>
      <c r="L306" s="20">
        <f t="shared" si="41"/>
        <v>6.0714285714285714E-2</v>
      </c>
      <c r="M306" s="12">
        <v>12</v>
      </c>
      <c r="N306" s="12">
        <v>5</v>
      </c>
      <c r="P306" s="32" t="s">
        <v>500</v>
      </c>
      <c r="Q306" s="23" t="s">
        <v>963</v>
      </c>
    </row>
    <row r="307" spans="1:17" ht="16.5">
      <c r="A307" s="25">
        <v>46052</v>
      </c>
      <c r="B307" s="29">
        <v>0.47291666666666665</v>
      </c>
      <c r="C307" s="11">
        <v>46056</v>
      </c>
      <c r="D307" s="24" t="str">
        <f t="shared" ref="D307:D319" si="42">RIGHT(I307,3)</f>
        <v>42W</v>
      </c>
      <c r="E307" s="13" t="str">
        <f>VLOOKUP(D:D,工作表2!A:B,2,0)</f>
        <v>敦陽</v>
      </c>
      <c r="F307" s="13" t="str">
        <f>VLOOKUP(D:D,工作表2!A:C,3,0)</f>
        <v>白</v>
      </c>
      <c r="G307" s="17">
        <v>10312795</v>
      </c>
      <c r="H307" s="17" t="s">
        <v>756</v>
      </c>
      <c r="I307" s="18" t="s">
        <v>761</v>
      </c>
      <c r="J307" s="15">
        <v>266</v>
      </c>
      <c r="K307" s="15">
        <v>23</v>
      </c>
      <c r="L307" s="20">
        <f t="shared" ref="L307:L319" si="43">K307/J307</f>
        <v>8.646616541353383E-2</v>
      </c>
      <c r="M307" s="12">
        <v>20</v>
      </c>
      <c r="N307" s="12">
        <v>3</v>
      </c>
      <c r="P307" s="32" t="s">
        <v>500</v>
      </c>
      <c r="Q307" s="23"/>
    </row>
    <row r="308" spans="1:17" ht="16.5">
      <c r="A308" s="25">
        <v>46052</v>
      </c>
      <c r="B308" s="29">
        <v>0.46666666666666662</v>
      </c>
      <c r="C308" s="11">
        <v>46056</v>
      </c>
      <c r="D308" s="24" t="str">
        <f t="shared" si="42"/>
        <v>N9B</v>
      </c>
      <c r="E308" s="13" t="str">
        <f>VLOOKUP(D:D,工作表2!A:B,2,0)</f>
        <v>邦善</v>
      </c>
      <c r="F308" s="13" t="str">
        <f>VLOOKUP(D:D,工作表2!A:C,3,0)</f>
        <v>黑</v>
      </c>
      <c r="G308" s="17">
        <v>10305463</v>
      </c>
      <c r="H308" s="17" t="s">
        <v>447</v>
      </c>
      <c r="I308" s="18" t="s">
        <v>448</v>
      </c>
      <c r="J308" s="15">
        <v>1596</v>
      </c>
      <c r="K308" s="15">
        <v>108</v>
      </c>
      <c r="L308" s="20">
        <f t="shared" si="43"/>
        <v>6.7669172932330823E-2</v>
      </c>
      <c r="M308" s="12">
        <v>96</v>
      </c>
      <c r="N308" s="12">
        <v>12</v>
      </c>
      <c r="P308" s="32" t="s">
        <v>500</v>
      </c>
      <c r="Q308" s="23"/>
    </row>
    <row r="309" spans="1:17" ht="16.5">
      <c r="A309" s="25">
        <v>46055</v>
      </c>
      <c r="B309" s="29">
        <v>0.62569444444444444</v>
      </c>
      <c r="C309" s="19">
        <v>46056</v>
      </c>
      <c r="D309" s="24" t="str">
        <f t="shared" si="42"/>
        <v>VEA</v>
      </c>
      <c r="E309" s="13" t="str">
        <f>VLOOKUP(D:D,工作表2!A:B,2,0)</f>
        <v>敦陽</v>
      </c>
      <c r="F309" s="13" t="str">
        <f>VLOOKUP(D:D,工作表2!A:C,3,0)</f>
        <v>灰</v>
      </c>
      <c r="G309" s="17">
        <v>10312794</v>
      </c>
      <c r="H309" s="17" t="s">
        <v>757</v>
      </c>
      <c r="I309" s="18" t="s">
        <v>762</v>
      </c>
      <c r="J309" s="15">
        <v>266</v>
      </c>
      <c r="K309" s="15">
        <v>72</v>
      </c>
      <c r="L309" s="20">
        <f t="shared" si="43"/>
        <v>0.27067669172932329</v>
      </c>
      <c r="M309" s="12">
        <v>60</v>
      </c>
      <c r="N309" s="12">
        <v>12</v>
      </c>
      <c r="P309" s="32" t="s">
        <v>500</v>
      </c>
      <c r="Q309" s="23"/>
    </row>
    <row r="310" spans="1:17" ht="16.5">
      <c r="A310" s="25">
        <v>46055</v>
      </c>
      <c r="B310" s="29">
        <v>0.39166666666666666</v>
      </c>
      <c r="C310" s="19">
        <v>46056</v>
      </c>
      <c r="D310" s="24" t="str">
        <f t="shared" si="42"/>
        <v>QRB</v>
      </c>
      <c r="E310" s="13" t="str">
        <f>VLOOKUP(D:D,工作表2!A:B,2,0)</f>
        <v>邦善</v>
      </c>
      <c r="F310" s="13" t="str">
        <f>VLOOKUP(D:D,工作表2!A:C,3,0)</f>
        <v>霧面黑</v>
      </c>
      <c r="G310" s="17">
        <v>10312395</v>
      </c>
      <c r="H310" s="17" t="s">
        <v>170</v>
      </c>
      <c r="I310" s="18" t="s">
        <v>171</v>
      </c>
      <c r="J310" s="15">
        <v>25802</v>
      </c>
      <c r="K310" s="15">
        <v>768</v>
      </c>
      <c r="L310" s="20">
        <f t="shared" si="43"/>
        <v>2.9765134485698782E-2</v>
      </c>
      <c r="M310" s="12">
        <v>477</v>
      </c>
      <c r="N310" s="12">
        <v>229</v>
      </c>
      <c r="O310" s="15">
        <v>62</v>
      </c>
      <c r="P310" s="32" t="s">
        <v>500</v>
      </c>
      <c r="Q310" s="23"/>
    </row>
    <row r="311" spans="1:17" ht="16.5">
      <c r="A311" s="25">
        <v>46055</v>
      </c>
      <c r="B311" s="29">
        <v>0.63194444444444442</v>
      </c>
      <c r="C311" s="19">
        <v>46056</v>
      </c>
      <c r="D311" s="24" t="str">
        <f t="shared" si="42"/>
        <v>75W</v>
      </c>
      <c r="E311" s="13" t="str">
        <f>VLOOKUP(D:D,工作表2!A:B,2,0)</f>
        <v>敦陽</v>
      </c>
      <c r="F311" s="13" t="str">
        <f>VLOOKUP(D:D,工作表2!A:C,3,0)</f>
        <v>白</v>
      </c>
      <c r="G311" s="17">
        <v>10316409</v>
      </c>
      <c r="H311" s="17" t="s">
        <v>680</v>
      </c>
      <c r="I311" s="18" t="s">
        <v>695</v>
      </c>
      <c r="J311" s="15">
        <v>80</v>
      </c>
      <c r="K311" s="15">
        <v>12</v>
      </c>
      <c r="L311" s="20">
        <f t="shared" si="43"/>
        <v>0.15</v>
      </c>
      <c r="M311" s="12">
        <v>10</v>
      </c>
      <c r="N311" s="12">
        <v>2</v>
      </c>
      <c r="P311" s="32" t="s">
        <v>500</v>
      </c>
      <c r="Q311" s="23"/>
    </row>
    <row r="312" spans="1:17" ht="16.5">
      <c r="A312" s="25">
        <v>46055</v>
      </c>
      <c r="B312" s="29">
        <v>0.60277777777777775</v>
      </c>
      <c r="C312" s="19">
        <v>46056</v>
      </c>
      <c r="D312" s="24" t="str">
        <f t="shared" si="42"/>
        <v>05W</v>
      </c>
      <c r="E312" s="13" t="str">
        <f>VLOOKUP(D:D,工作表2!A:B,2,0)</f>
        <v>邦善</v>
      </c>
      <c r="F312" s="13" t="str">
        <f>VLOOKUP(D:D,工作表2!A:C,3,0)</f>
        <v>白</v>
      </c>
      <c r="G312" s="17">
        <v>10312039</v>
      </c>
      <c r="H312" s="17" t="s">
        <v>760</v>
      </c>
      <c r="I312" s="18" t="s">
        <v>765</v>
      </c>
      <c r="J312" s="15">
        <v>72</v>
      </c>
      <c r="K312" s="15">
        <v>9</v>
      </c>
      <c r="L312" s="20">
        <f t="shared" si="43"/>
        <v>0.125</v>
      </c>
      <c r="M312" s="12">
        <v>7</v>
      </c>
      <c r="N312" s="12">
        <v>2</v>
      </c>
      <c r="P312" s="32" t="s">
        <v>500</v>
      </c>
      <c r="Q312" s="23"/>
    </row>
    <row r="313" spans="1:17" ht="16.5">
      <c r="A313" s="25">
        <v>46055</v>
      </c>
      <c r="B313" s="29">
        <v>0.54097222222222219</v>
      </c>
      <c r="C313" s="19">
        <v>46056</v>
      </c>
      <c r="D313" s="24" t="str">
        <f t="shared" si="42"/>
        <v>N8B</v>
      </c>
      <c r="E313" s="13" t="str">
        <f>VLOOKUP(D:D,工作表2!A:B,2,0)</f>
        <v>邦善</v>
      </c>
      <c r="F313" s="13" t="str">
        <f>VLOOKUP(D:D,工作表2!A:C,3,0)</f>
        <v>霧面黑</v>
      </c>
      <c r="G313" s="17">
        <v>10315440</v>
      </c>
      <c r="H313" s="17" t="s">
        <v>758</v>
      </c>
      <c r="I313" s="18" t="s">
        <v>763</v>
      </c>
      <c r="J313" s="15">
        <v>270</v>
      </c>
      <c r="K313" s="15">
        <v>10</v>
      </c>
      <c r="L313" s="20">
        <f t="shared" si="43"/>
        <v>3.7037037037037035E-2</v>
      </c>
      <c r="M313" s="12">
        <v>6</v>
      </c>
      <c r="N313" s="12">
        <v>4</v>
      </c>
      <c r="P313" s="32" t="s">
        <v>500</v>
      </c>
      <c r="Q313" s="23" t="s">
        <v>963</v>
      </c>
    </row>
    <row r="314" spans="1:17" ht="16.5">
      <c r="A314" s="25">
        <v>46052</v>
      </c>
      <c r="B314" s="29">
        <v>0.54027777777777775</v>
      </c>
      <c r="C314" s="19">
        <v>46056</v>
      </c>
      <c r="D314" s="24" t="str">
        <f t="shared" si="42"/>
        <v>NGW</v>
      </c>
      <c r="E314" s="13" t="str">
        <f>VLOOKUP(D:D,工作表2!A:B,2,0)</f>
        <v>邦善</v>
      </c>
      <c r="F314" s="13" t="str">
        <f>VLOOKUP(D:D,工作表2!A:C,3,0)</f>
        <v>白</v>
      </c>
      <c r="G314" s="17">
        <v>10310711</v>
      </c>
      <c r="H314" s="17" t="s">
        <v>522</v>
      </c>
      <c r="I314" s="18" t="s">
        <v>534</v>
      </c>
      <c r="J314" s="15">
        <v>440</v>
      </c>
      <c r="K314" s="15">
        <v>34</v>
      </c>
      <c r="L314" s="20">
        <f t="shared" si="43"/>
        <v>7.7272727272727271E-2</v>
      </c>
      <c r="M314" s="12">
        <v>30</v>
      </c>
      <c r="N314" s="12">
        <v>4</v>
      </c>
      <c r="P314" s="32" t="s">
        <v>500</v>
      </c>
      <c r="Q314" s="23" t="s">
        <v>962</v>
      </c>
    </row>
    <row r="315" spans="1:17" ht="16.5">
      <c r="A315" s="25">
        <v>46050</v>
      </c>
      <c r="B315" s="29">
        <v>0.57291666666666663</v>
      </c>
      <c r="C315" s="19">
        <v>46056</v>
      </c>
      <c r="D315" s="24" t="str">
        <f t="shared" si="42"/>
        <v>NEA</v>
      </c>
      <c r="E315" s="13" t="str">
        <f>VLOOKUP(D:D,工作表2!A:B,2,0)</f>
        <v>邦善</v>
      </c>
      <c r="F315" s="13" t="str">
        <f>VLOOKUP(D:D,工作表2!A:C,3,0)</f>
        <v>灰</v>
      </c>
      <c r="G315" s="17">
        <v>10310709</v>
      </c>
      <c r="H315" s="17" t="s">
        <v>595</v>
      </c>
      <c r="I315" s="18" t="s">
        <v>603</v>
      </c>
      <c r="J315" s="15">
        <v>1400</v>
      </c>
      <c r="K315" s="15">
        <v>201</v>
      </c>
      <c r="L315" s="20">
        <f t="shared" si="43"/>
        <v>0.14357142857142857</v>
      </c>
      <c r="M315" s="12">
        <v>163</v>
      </c>
      <c r="N315" s="12">
        <v>38</v>
      </c>
      <c r="P315" s="32" t="s">
        <v>500</v>
      </c>
      <c r="Q315" s="23" t="s">
        <v>962</v>
      </c>
    </row>
    <row r="316" spans="1:17" ht="16.5">
      <c r="A316" s="25">
        <v>46052</v>
      </c>
      <c r="B316" s="29">
        <v>0.52777777777777779</v>
      </c>
      <c r="C316" s="19">
        <v>46056</v>
      </c>
      <c r="D316" s="24" t="str">
        <f t="shared" si="42"/>
        <v>SZR</v>
      </c>
      <c r="E316" s="13" t="str">
        <f>VLOOKUP(D:D,工作表2!A:B,2,0)</f>
        <v>邦善</v>
      </c>
      <c r="F316" s="13" t="str">
        <f>VLOOKUP(D:D,工作表2!A:C,3,0)</f>
        <v>紅</v>
      </c>
      <c r="G316" s="17">
        <v>10310714</v>
      </c>
      <c r="H316" s="17" t="s">
        <v>759</v>
      </c>
      <c r="I316" s="18" t="s">
        <v>764</v>
      </c>
      <c r="J316" s="15">
        <v>560</v>
      </c>
      <c r="K316" s="15">
        <v>37</v>
      </c>
      <c r="L316" s="20">
        <f t="shared" si="43"/>
        <v>6.6071428571428573E-2</v>
      </c>
      <c r="M316" s="12">
        <v>30</v>
      </c>
      <c r="N316" s="12">
        <v>7</v>
      </c>
      <c r="P316" s="32" t="s">
        <v>500</v>
      </c>
      <c r="Q316" s="23" t="s">
        <v>962</v>
      </c>
    </row>
    <row r="317" spans="1:17" ht="16.5">
      <c r="A317" s="25">
        <v>46051</v>
      </c>
      <c r="B317" s="29">
        <v>0.6020833333333333</v>
      </c>
      <c r="C317" s="19">
        <v>46056</v>
      </c>
      <c r="D317" s="24" t="str">
        <f t="shared" si="42"/>
        <v>NGW</v>
      </c>
      <c r="E317" s="13" t="str">
        <f>VLOOKUP(D:D,工作表2!A:B,2,0)</f>
        <v>邦善</v>
      </c>
      <c r="F317" s="13" t="str">
        <f>VLOOKUP(D:D,工作表2!A:C,3,0)</f>
        <v>白</v>
      </c>
      <c r="G317" s="17">
        <v>10310722</v>
      </c>
      <c r="H317" s="17" t="s">
        <v>372</v>
      </c>
      <c r="I317" s="18" t="s">
        <v>373</v>
      </c>
      <c r="J317" s="15">
        <v>1200</v>
      </c>
      <c r="K317" s="15">
        <v>57</v>
      </c>
      <c r="L317" s="20">
        <f t="shared" si="43"/>
        <v>4.7500000000000001E-2</v>
      </c>
      <c r="M317" s="12">
        <v>40</v>
      </c>
      <c r="N317" s="12">
        <v>17</v>
      </c>
      <c r="P317" s="32" t="s">
        <v>500</v>
      </c>
      <c r="Q317" s="23"/>
    </row>
    <row r="318" spans="1:17" ht="16.5">
      <c r="A318" s="25">
        <v>46055</v>
      </c>
      <c r="B318" s="29">
        <v>0.62222222222222223</v>
      </c>
      <c r="C318" s="19">
        <v>46056</v>
      </c>
      <c r="D318" s="24" t="str">
        <f t="shared" si="42"/>
        <v>NRR</v>
      </c>
      <c r="E318" s="13" t="str">
        <f>VLOOKUP(D:D,工作表2!A:B,2,0)</f>
        <v>邦善</v>
      </c>
      <c r="F318" s="13" t="str">
        <f>VLOOKUP(D:D,工作表2!A:C,3,0)</f>
        <v>紅</v>
      </c>
      <c r="G318" s="17">
        <v>10316408</v>
      </c>
      <c r="H318" s="17" t="s">
        <v>710</v>
      </c>
      <c r="I318" s="18" t="s">
        <v>721</v>
      </c>
      <c r="J318" s="15">
        <v>80</v>
      </c>
      <c r="K318" s="15">
        <v>7</v>
      </c>
      <c r="L318" s="20">
        <f t="shared" si="43"/>
        <v>8.7499999999999994E-2</v>
      </c>
      <c r="M318" s="12">
        <v>5</v>
      </c>
      <c r="N318" s="12">
        <v>2</v>
      </c>
      <c r="P318" s="32" t="s">
        <v>500</v>
      </c>
      <c r="Q318" s="23"/>
    </row>
    <row r="319" spans="1:17" ht="16.5">
      <c r="A319" s="25">
        <v>46051</v>
      </c>
      <c r="B319" s="29">
        <v>0.6430555555555556</v>
      </c>
      <c r="C319" s="19">
        <v>46056</v>
      </c>
      <c r="D319" s="24" t="str">
        <f t="shared" si="42"/>
        <v>NGW</v>
      </c>
      <c r="E319" s="13" t="str">
        <f>VLOOKUP(D:D,工作表2!A:B,2,0)</f>
        <v>邦善</v>
      </c>
      <c r="F319" s="13" t="str">
        <f>VLOOKUP(D:D,工作表2!A:C,3,0)</f>
        <v>白</v>
      </c>
      <c r="G319" s="17">
        <v>10314043</v>
      </c>
      <c r="H319" s="17" t="s">
        <v>385</v>
      </c>
      <c r="I319" s="18" t="s">
        <v>390</v>
      </c>
      <c r="J319" s="15">
        <v>40</v>
      </c>
      <c r="K319" s="15">
        <v>1</v>
      </c>
      <c r="L319" s="20">
        <f t="shared" si="43"/>
        <v>2.5000000000000001E-2</v>
      </c>
      <c r="M319" s="12">
        <v>1</v>
      </c>
      <c r="P319" s="32" t="s">
        <v>500</v>
      </c>
      <c r="Q319" s="23"/>
    </row>
    <row r="320" spans="1:17" ht="16.5">
      <c r="A320" s="25">
        <v>46056</v>
      </c>
      <c r="B320" s="29">
        <v>0.63055555555555554</v>
      </c>
      <c r="C320" s="11">
        <v>46057</v>
      </c>
      <c r="D320" s="24" t="str">
        <f t="shared" ref="D320:D341" si="44">RIGHT(I320,3)</f>
        <v>HTW</v>
      </c>
      <c r="E320" s="13" t="str">
        <f>VLOOKUP(D:D,工作表2!A:B,2,0)</f>
        <v>邦善</v>
      </c>
      <c r="F320" s="13" t="str">
        <f>VLOOKUP(D:D,工作表2!A:C,3,0)</f>
        <v>白</v>
      </c>
      <c r="G320" s="17">
        <v>10312820</v>
      </c>
      <c r="H320" s="17" t="s">
        <v>773</v>
      </c>
      <c r="I320" s="18" t="s">
        <v>778</v>
      </c>
      <c r="J320" s="15">
        <v>30</v>
      </c>
      <c r="K320" s="15">
        <v>5</v>
      </c>
      <c r="L320" s="20">
        <f t="shared" ref="L320:L341" si="45">K320/J320</f>
        <v>0.16666666666666666</v>
      </c>
      <c r="M320" s="12">
        <v>5</v>
      </c>
      <c r="P320" s="32" t="s">
        <v>500</v>
      </c>
      <c r="Q320" s="23"/>
    </row>
    <row r="321" spans="1:20" ht="16.5">
      <c r="C321" s="11">
        <v>46057</v>
      </c>
      <c r="D321" s="24" t="str">
        <f t="shared" si="44"/>
        <v>LWB</v>
      </c>
      <c r="E321" s="13" t="str">
        <f>VLOOKUP(D:D,工作表2!A:B,2,0)</f>
        <v>建榮</v>
      </c>
      <c r="F321" s="13" t="str">
        <f>VLOOKUP(D:D,工作表2!A:C,3,0)</f>
        <v>霧面黑</v>
      </c>
      <c r="G321" s="17">
        <v>10312756</v>
      </c>
      <c r="H321" s="17" t="s">
        <v>766</v>
      </c>
      <c r="I321" s="18" t="s">
        <v>769</v>
      </c>
      <c r="J321" s="15">
        <v>80</v>
      </c>
      <c r="K321" s="15">
        <v>12</v>
      </c>
      <c r="L321" s="20">
        <f t="shared" si="45"/>
        <v>0.15</v>
      </c>
      <c r="M321" s="12">
        <v>7</v>
      </c>
      <c r="N321" s="12">
        <v>5</v>
      </c>
      <c r="P321" s="32" t="s">
        <v>500</v>
      </c>
      <c r="Q321" s="23"/>
    </row>
    <row r="322" spans="1:20" ht="16.5">
      <c r="A322" s="25">
        <v>46056</v>
      </c>
      <c r="B322" s="29">
        <v>0.62638888888888888</v>
      </c>
      <c r="C322" s="11">
        <v>46057</v>
      </c>
      <c r="D322" s="24" t="str">
        <f t="shared" si="44"/>
        <v>WDS</v>
      </c>
      <c r="E322" s="13" t="str">
        <f>VLOOKUP(D:D,工作表2!A:B,2,0)</f>
        <v>邦善</v>
      </c>
      <c r="F322" s="13" t="str">
        <f>VLOOKUP(D:D,工作表2!A:C,3,0)</f>
        <v>白</v>
      </c>
      <c r="G322" s="17">
        <v>10312818</v>
      </c>
      <c r="H322" s="17" t="s">
        <v>774</v>
      </c>
      <c r="I322" s="18" t="s">
        <v>779</v>
      </c>
      <c r="J322" s="15">
        <v>30</v>
      </c>
      <c r="K322" s="15">
        <v>1</v>
      </c>
      <c r="L322" s="20">
        <f t="shared" si="45"/>
        <v>3.3333333333333333E-2</v>
      </c>
      <c r="M322" s="12">
        <v>1</v>
      </c>
      <c r="P322" s="32" t="s">
        <v>500</v>
      </c>
      <c r="Q322" s="23"/>
    </row>
    <row r="323" spans="1:20" ht="16.5">
      <c r="A323" s="25">
        <v>46055</v>
      </c>
      <c r="B323" s="29">
        <v>0.52777777777777779</v>
      </c>
      <c r="C323" s="11">
        <v>46057</v>
      </c>
      <c r="D323" s="24" t="str">
        <f t="shared" si="44"/>
        <v>NBB</v>
      </c>
      <c r="E323" s="13" t="str">
        <f>VLOOKUP(D:D,工作表2!A:B,2,0)</f>
        <v>邦善</v>
      </c>
      <c r="F323" s="13" t="str">
        <f>VLOOKUP(D:D,工作表2!A:C,3,0)</f>
        <v>霧面黑</v>
      </c>
      <c r="G323" s="17">
        <v>10310697</v>
      </c>
      <c r="H323" s="17" t="s">
        <v>369</v>
      </c>
      <c r="I323" s="18" t="s">
        <v>371</v>
      </c>
      <c r="J323" s="15">
        <v>798</v>
      </c>
      <c r="K323" s="15">
        <v>29</v>
      </c>
      <c r="L323" s="20">
        <f t="shared" si="45"/>
        <v>3.6340852130325813E-2</v>
      </c>
      <c r="M323" s="12">
        <v>23</v>
      </c>
      <c r="N323" s="12">
        <v>6</v>
      </c>
      <c r="P323" s="32" t="s">
        <v>500</v>
      </c>
      <c r="Q323" s="23"/>
    </row>
    <row r="324" spans="1:20" ht="16.5">
      <c r="A324" s="25">
        <v>46055</v>
      </c>
      <c r="B324" s="29">
        <v>0.61597222222222225</v>
      </c>
      <c r="C324" s="11">
        <v>46057</v>
      </c>
      <c r="D324" s="24" t="str">
        <f t="shared" si="44"/>
        <v>NGW</v>
      </c>
      <c r="E324" s="13" t="str">
        <f>VLOOKUP(D:D,工作表2!A:B,2,0)</f>
        <v>邦善</v>
      </c>
      <c r="F324" s="13" t="str">
        <f>VLOOKUP(D:D,工作表2!A:C,3,0)</f>
        <v>白</v>
      </c>
      <c r="G324" s="17">
        <v>10310699</v>
      </c>
      <c r="H324" s="17" t="s">
        <v>711</v>
      </c>
      <c r="I324" s="18" t="s">
        <v>722</v>
      </c>
      <c r="J324" s="15">
        <v>1064</v>
      </c>
      <c r="K324" s="15">
        <v>86</v>
      </c>
      <c r="L324" s="20">
        <f t="shared" si="45"/>
        <v>8.0827067669172928E-2</v>
      </c>
      <c r="M324" s="12">
        <v>50</v>
      </c>
      <c r="N324" s="12">
        <v>36</v>
      </c>
      <c r="P324" s="32" t="s">
        <v>500</v>
      </c>
      <c r="Q324" s="23"/>
    </row>
    <row r="325" spans="1:20" ht="16.5">
      <c r="A325" s="25">
        <v>46055</v>
      </c>
      <c r="B325" s="29">
        <v>0.6069444444444444</v>
      </c>
      <c r="C325" s="11">
        <v>46057</v>
      </c>
      <c r="D325" s="24" t="str">
        <f t="shared" si="44"/>
        <v>RCA</v>
      </c>
      <c r="E325" s="13" t="str">
        <f>VLOOKUP(D:D,工作表2!A:B,2,0)</f>
        <v>邦善</v>
      </c>
      <c r="F325" s="13" t="str">
        <f>VLOOKUP(D:D,工作表2!A:C,3,0)</f>
        <v>灰</v>
      </c>
      <c r="G325" s="17">
        <v>10310703</v>
      </c>
      <c r="H325" s="17" t="s">
        <v>402</v>
      </c>
      <c r="I325" s="18" t="s">
        <v>404</v>
      </c>
      <c r="J325" s="15">
        <v>798</v>
      </c>
      <c r="K325" s="15">
        <v>55</v>
      </c>
      <c r="L325" s="20">
        <f t="shared" si="45"/>
        <v>6.8922305764411024E-2</v>
      </c>
      <c r="M325" s="12">
        <v>35</v>
      </c>
      <c r="N325" s="12">
        <v>20</v>
      </c>
      <c r="P325" s="32" t="s">
        <v>500</v>
      </c>
      <c r="Q325" s="23"/>
    </row>
    <row r="326" spans="1:20" ht="16.5">
      <c r="A326" s="25">
        <v>46052</v>
      </c>
      <c r="B326" s="29">
        <v>0.47222222222222227</v>
      </c>
      <c r="C326" s="11">
        <v>46057</v>
      </c>
      <c r="D326" s="24" t="str">
        <f t="shared" si="44"/>
        <v>RRA</v>
      </c>
      <c r="E326" s="13" t="str">
        <f>VLOOKUP(D:D,工作表2!A:B,2,0)</f>
        <v>邦善</v>
      </c>
      <c r="F326" s="13" t="str">
        <f>VLOOKUP(D:D,工作表2!A:C,3,0)</f>
        <v>灰</v>
      </c>
      <c r="G326" s="17">
        <v>10310701</v>
      </c>
      <c r="H326" s="17" t="s">
        <v>544</v>
      </c>
      <c r="I326" s="18" t="s">
        <v>555</v>
      </c>
      <c r="J326" s="15">
        <v>266</v>
      </c>
      <c r="K326" s="15">
        <v>18</v>
      </c>
      <c r="L326" s="20">
        <f t="shared" si="45"/>
        <v>6.7669172932330823E-2</v>
      </c>
      <c r="M326" s="12">
        <v>15</v>
      </c>
      <c r="N326" s="12">
        <v>3</v>
      </c>
      <c r="P326" s="32" t="s">
        <v>500</v>
      </c>
      <c r="Q326" s="23"/>
    </row>
    <row r="327" spans="1:20" ht="16.5">
      <c r="A327" s="25">
        <v>46055</v>
      </c>
      <c r="B327" s="29">
        <v>0.59305555555555556</v>
      </c>
      <c r="C327" s="19">
        <v>46057</v>
      </c>
      <c r="D327" s="24" t="str">
        <f t="shared" si="44"/>
        <v>SYL</v>
      </c>
      <c r="E327" s="13" t="str">
        <f>VLOOKUP(D:D,工作表2!A:B,2,0)</f>
        <v>邦善</v>
      </c>
      <c r="F327" s="13" t="str">
        <f>VLOOKUP(D:D,工作表2!A:C,3,0)</f>
        <v>藍</v>
      </c>
      <c r="G327" s="17">
        <v>10310707</v>
      </c>
      <c r="H327" s="17" t="s">
        <v>384</v>
      </c>
      <c r="I327" s="18" t="s">
        <v>389</v>
      </c>
      <c r="J327" s="15">
        <v>1064</v>
      </c>
      <c r="K327" s="15">
        <v>74</v>
      </c>
      <c r="L327" s="20">
        <f t="shared" si="45"/>
        <v>6.9548872180451124E-2</v>
      </c>
      <c r="M327" s="12">
        <v>60</v>
      </c>
      <c r="N327" s="12">
        <v>14</v>
      </c>
      <c r="P327" s="32" t="s">
        <v>500</v>
      </c>
      <c r="Q327" s="23"/>
    </row>
    <row r="328" spans="1:20" ht="16.5">
      <c r="A328" s="25">
        <v>46056</v>
      </c>
      <c r="B328" s="29">
        <v>0.37777777777777777</v>
      </c>
      <c r="C328" s="19">
        <v>46057</v>
      </c>
      <c r="D328" s="24" t="str">
        <f t="shared" si="44"/>
        <v>QRB</v>
      </c>
      <c r="E328" s="13" t="str">
        <f>VLOOKUP(D:D,工作表2!A:B,2,0)</f>
        <v>邦善</v>
      </c>
      <c r="F328" s="13" t="str">
        <f>VLOOKUP(D:D,工作表2!A:C,3,0)</f>
        <v>霧面黑</v>
      </c>
      <c r="G328" s="17">
        <v>10312396</v>
      </c>
      <c r="H328" s="17" t="s">
        <v>170</v>
      </c>
      <c r="I328" s="18" t="s">
        <v>171</v>
      </c>
      <c r="J328" s="15">
        <v>25802</v>
      </c>
      <c r="K328" s="15">
        <v>530</v>
      </c>
      <c r="L328" s="20">
        <f t="shared" si="45"/>
        <v>2.0541043329974421E-2</v>
      </c>
      <c r="M328" s="12">
        <v>299</v>
      </c>
      <c r="N328" s="12">
        <v>199</v>
      </c>
      <c r="O328" s="15">
        <v>32</v>
      </c>
      <c r="P328" s="32" t="s">
        <v>500</v>
      </c>
      <c r="Q328" s="23"/>
    </row>
    <row r="329" spans="1:20" ht="16.5">
      <c r="A329" s="25">
        <v>46055</v>
      </c>
      <c r="B329" s="29">
        <v>0.67013888888888884</v>
      </c>
      <c r="C329" s="19">
        <v>46057</v>
      </c>
      <c r="D329" s="24" t="str">
        <f t="shared" si="44"/>
        <v>VKB</v>
      </c>
      <c r="E329" s="13" t="str">
        <f>VLOOKUP(D:D,工作表2!A:B,2,0)</f>
        <v>華山</v>
      </c>
      <c r="F329" s="13" t="str">
        <f>VLOOKUP(D:D,工作表2!A:C,3,0)</f>
        <v>霧面黑</v>
      </c>
      <c r="G329" s="17">
        <v>10312831</v>
      </c>
      <c r="H329" s="17" t="s">
        <v>567</v>
      </c>
      <c r="I329" s="18" t="s">
        <v>575</v>
      </c>
      <c r="J329" s="15">
        <v>1400</v>
      </c>
      <c r="K329" s="15">
        <v>56</v>
      </c>
      <c r="L329" s="20">
        <f t="shared" si="45"/>
        <v>0.04</v>
      </c>
      <c r="M329" s="12">
        <v>36</v>
      </c>
      <c r="N329" s="12">
        <v>20</v>
      </c>
      <c r="P329" s="32" t="s">
        <v>500</v>
      </c>
      <c r="Q329" s="23"/>
    </row>
    <row r="330" spans="1:20" ht="16.5">
      <c r="A330" s="25">
        <v>46055</v>
      </c>
      <c r="B330" s="29">
        <v>0.63194444444444442</v>
      </c>
      <c r="C330" s="19">
        <v>46057</v>
      </c>
      <c r="D330" s="24" t="str">
        <f t="shared" si="44"/>
        <v>75W</v>
      </c>
      <c r="E330" s="13" t="str">
        <f>VLOOKUP(D:D,工作表2!A:B,2,0)</f>
        <v>敦陽</v>
      </c>
      <c r="F330" s="13" t="str">
        <f>VLOOKUP(D:D,工作表2!A:C,3,0)</f>
        <v>白</v>
      </c>
      <c r="G330" s="17">
        <v>10312796</v>
      </c>
      <c r="H330" s="17" t="s">
        <v>680</v>
      </c>
      <c r="I330" s="18" t="s">
        <v>695</v>
      </c>
      <c r="J330" s="15">
        <v>160</v>
      </c>
      <c r="K330" s="15">
        <v>23</v>
      </c>
      <c r="L330" s="20">
        <f t="shared" si="45"/>
        <v>0.14374999999999999</v>
      </c>
      <c r="M330" s="12">
        <v>18</v>
      </c>
      <c r="N330" s="12">
        <v>5</v>
      </c>
      <c r="P330" s="32" t="s">
        <v>500</v>
      </c>
      <c r="Q330" s="23"/>
    </row>
    <row r="331" spans="1:20" ht="16.5">
      <c r="A331" s="25">
        <v>46055</v>
      </c>
      <c r="B331" s="29">
        <v>0.62847222222222221</v>
      </c>
      <c r="C331" s="19">
        <v>46057</v>
      </c>
      <c r="D331" s="24" t="str">
        <f t="shared" si="44"/>
        <v>78A</v>
      </c>
      <c r="E331" s="13" t="str">
        <f>VLOOKUP(D:D,工作表2!A:B,2,0)</f>
        <v>敦陽</v>
      </c>
      <c r="F331" s="13" t="str">
        <f>VLOOKUP(D:D,工作表2!A:C,3,0)</f>
        <v>灰</v>
      </c>
      <c r="G331" s="17">
        <v>10312797</v>
      </c>
      <c r="H331" s="17" t="s">
        <v>541</v>
      </c>
      <c r="I331" s="18" t="s">
        <v>552</v>
      </c>
      <c r="J331" s="15">
        <v>160</v>
      </c>
      <c r="K331" s="15">
        <v>9</v>
      </c>
      <c r="L331" s="20">
        <f t="shared" si="45"/>
        <v>5.6250000000000001E-2</v>
      </c>
      <c r="M331" s="12">
        <v>8</v>
      </c>
      <c r="N331" s="12">
        <v>1</v>
      </c>
      <c r="P331" s="32" t="s">
        <v>500</v>
      </c>
      <c r="Q331" s="23"/>
    </row>
    <row r="332" spans="1:20" ht="16.5">
      <c r="A332" s="25">
        <v>46056</v>
      </c>
      <c r="B332" s="29">
        <v>0.52777777777777779</v>
      </c>
      <c r="C332" s="19">
        <v>46057</v>
      </c>
      <c r="D332" s="24" t="str">
        <f t="shared" si="44"/>
        <v>PLB</v>
      </c>
      <c r="E332" s="13" t="str">
        <f>VLOOKUP(D:D,工作表2!A:B,2,0)</f>
        <v>邦善</v>
      </c>
      <c r="F332" s="13" t="str">
        <f>VLOOKUP(D:D,工作表2!A:C,3,0)</f>
        <v>霧面黑</v>
      </c>
      <c r="G332" s="17">
        <v>10311374</v>
      </c>
      <c r="H332" s="17" t="s">
        <v>768</v>
      </c>
      <c r="I332" s="18" t="s">
        <v>771</v>
      </c>
      <c r="J332" s="15">
        <v>266</v>
      </c>
      <c r="K332" s="15">
        <v>3</v>
      </c>
      <c r="L332" s="20">
        <f t="shared" si="45"/>
        <v>1.1278195488721804E-2</v>
      </c>
      <c r="M332" s="12">
        <v>3</v>
      </c>
      <c r="P332" s="32" t="s">
        <v>500</v>
      </c>
      <c r="Q332" s="23"/>
    </row>
    <row r="333" spans="1:20" ht="16.5">
      <c r="A333" s="25">
        <v>46056</v>
      </c>
      <c r="B333" s="29">
        <v>0.61249999999999993</v>
      </c>
      <c r="C333" s="19">
        <v>46057</v>
      </c>
      <c r="D333" s="24" t="str">
        <f t="shared" si="44"/>
        <v>R7A</v>
      </c>
      <c r="E333" s="13" t="str">
        <f>VLOOKUP(D:D,工作表2!A:B,2,0)</f>
        <v>邦善</v>
      </c>
      <c r="F333" s="13" t="str">
        <f>VLOOKUP(D:D,工作表2!A:C,3,0)</f>
        <v>灰</v>
      </c>
      <c r="G333" s="17">
        <v>10310685</v>
      </c>
      <c r="H333" s="17" t="s">
        <v>767</v>
      </c>
      <c r="I333" s="18" t="s">
        <v>770</v>
      </c>
      <c r="J333" s="15">
        <v>1330</v>
      </c>
      <c r="K333" s="15">
        <v>93</v>
      </c>
      <c r="L333" s="20">
        <f t="shared" si="45"/>
        <v>6.9924812030075181E-2</v>
      </c>
      <c r="M333" s="12">
        <v>66</v>
      </c>
      <c r="N333" s="12">
        <v>27</v>
      </c>
      <c r="P333" s="32" t="s">
        <v>500</v>
      </c>
      <c r="Q333" s="23"/>
    </row>
    <row r="334" spans="1:20" ht="16.5">
      <c r="A334" s="25">
        <v>46055</v>
      </c>
      <c r="C334" s="19">
        <v>46057</v>
      </c>
      <c r="D334" s="24" t="str">
        <f t="shared" si="44"/>
        <v>75W</v>
      </c>
      <c r="E334" s="13" t="str">
        <f>VLOOKUP(D:D,工作表2!A:B,2,0)</f>
        <v>敦陽</v>
      </c>
      <c r="F334" s="13" t="str">
        <f>VLOOKUP(D:D,工作表2!A:C,3,0)</f>
        <v>白</v>
      </c>
      <c r="G334" s="17">
        <v>10312798</v>
      </c>
      <c r="H334" s="17" t="s">
        <v>681</v>
      </c>
      <c r="I334" s="18" t="s">
        <v>696</v>
      </c>
      <c r="J334" s="15">
        <v>80</v>
      </c>
      <c r="K334" s="15">
        <v>16</v>
      </c>
      <c r="L334" s="20">
        <f t="shared" si="45"/>
        <v>0.2</v>
      </c>
      <c r="M334" s="12">
        <v>12</v>
      </c>
      <c r="N334" s="12">
        <v>4</v>
      </c>
      <c r="P334" s="32" t="s">
        <v>500</v>
      </c>
      <c r="Q334" s="23" t="s">
        <v>961</v>
      </c>
    </row>
    <row r="335" spans="1:20" ht="16.5">
      <c r="A335" s="25">
        <v>46052</v>
      </c>
      <c r="B335" s="29">
        <v>0.47361111111111115</v>
      </c>
      <c r="C335" s="19">
        <v>46057</v>
      </c>
      <c r="D335" s="24" t="str">
        <f t="shared" si="44"/>
        <v>NQB</v>
      </c>
      <c r="E335" s="13" t="str">
        <f>VLOOKUP(D:D,工作表2!A:B,2,0)</f>
        <v>邦善</v>
      </c>
      <c r="F335" s="13" t="str">
        <f>VLOOKUP(D:D,工作表2!A:C,3,0)</f>
        <v>黑</v>
      </c>
      <c r="G335" s="17">
        <v>10310712</v>
      </c>
      <c r="H335" s="17" t="s">
        <v>777</v>
      </c>
      <c r="I335" s="18" t="s">
        <v>782</v>
      </c>
      <c r="J335" s="15">
        <v>480</v>
      </c>
      <c r="K335" s="15">
        <v>42</v>
      </c>
      <c r="L335" s="20">
        <f t="shared" si="45"/>
        <v>8.7499999999999994E-2</v>
      </c>
      <c r="M335" s="12">
        <v>27</v>
      </c>
      <c r="N335" s="12">
        <v>15</v>
      </c>
      <c r="P335" s="32" t="s">
        <v>500</v>
      </c>
      <c r="Q335" s="23" t="s">
        <v>962</v>
      </c>
    </row>
    <row r="336" spans="1:20">
      <c r="A336" s="25">
        <v>46055</v>
      </c>
      <c r="B336" s="29">
        <v>0.62847222222222221</v>
      </c>
      <c r="C336" s="19">
        <v>46057</v>
      </c>
      <c r="D336" s="24" t="str">
        <f t="shared" si="44"/>
        <v>RCA</v>
      </c>
      <c r="E336" s="13" t="str">
        <f>VLOOKUP(D:D,工作表2!A:B,2,0)</f>
        <v>邦善</v>
      </c>
      <c r="F336" s="13" t="str">
        <f>VLOOKUP(D:D,工作表2!A:C,3,0)</f>
        <v>灰</v>
      </c>
      <c r="G336" s="17">
        <v>10310713</v>
      </c>
      <c r="H336" s="17" t="s">
        <v>663</v>
      </c>
      <c r="I336" s="18" t="s">
        <v>667</v>
      </c>
      <c r="J336" s="15">
        <v>520</v>
      </c>
      <c r="K336" s="15">
        <v>51</v>
      </c>
      <c r="L336" s="20">
        <f t="shared" si="45"/>
        <v>9.8076923076923075E-2</v>
      </c>
      <c r="M336" s="12">
        <v>38</v>
      </c>
      <c r="N336" s="12">
        <v>3</v>
      </c>
      <c r="P336" s="32" t="s">
        <v>772</v>
      </c>
      <c r="Q336" s="23" t="s">
        <v>962</v>
      </c>
      <c r="T336" s="17">
        <v>10</v>
      </c>
    </row>
    <row r="337" spans="1:17" ht="16.5">
      <c r="A337" s="25">
        <v>46051</v>
      </c>
      <c r="B337" s="29">
        <v>0.64513888888888882</v>
      </c>
      <c r="C337" s="19">
        <v>46057</v>
      </c>
      <c r="D337" s="24" t="str">
        <f t="shared" si="44"/>
        <v>NGW</v>
      </c>
      <c r="E337" s="13" t="str">
        <f>VLOOKUP(D:D,工作表2!A:B,2,0)</f>
        <v>邦善</v>
      </c>
      <c r="F337" s="13" t="str">
        <f>VLOOKUP(D:D,工作表2!A:C,3,0)</f>
        <v>白</v>
      </c>
      <c r="G337" s="17">
        <v>10310725</v>
      </c>
      <c r="H337" s="17" t="s">
        <v>386</v>
      </c>
      <c r="I337" s="18" t="s">
        <v>391</v>
      </c>
      <c r="J337" s="15">
        <v>560</v>
      </c>
      <c r="K337" s="15">
        <v>36</v>
      </c>
      <c r="L337" s="20">
        <f t="shared" si="45"/>
        <v>6.4285714285714279E-2</v>
      </c>
      <c r="M337" s="12">
        <v>30</v>
      </c>
      <c r="N337" s="12">
        <v>6</v>
      </c>
      <c r="P337" s="32" t="s">
        <v>500</v>
      </c>
      <c r="Q337" s="23"/>
    </row>
    <row r="338" spans="1:17" ht="16.5">
      <c r="A338" s="25">
        <v>46055</v>
      </c>
      <c r="B338" s="29">
        <v>0.53125</v>
      </c>
      <c r="C338" s="19">
        <v>46057</v>
      </c>
      <c r="D338" s="24" t="str">
        <f t="shared" si="44"/>
        <v>NBB</v>
      </c>
      <c r="E338" s="13" t="str">
        <f>VLOOKUP(D:D,工作表2!A:B,2,0)</f>
        <v>邦善</v>
      </c>
      <c r="F338" s="13" t="str">
        <f>VLOOKUP(D:D,工作表2!A:C,3,0)</f>
        <v>霧面黑</v>
      </c>
      <c r="G338" s="17">
        <v>10310729</v>
      </c>
      <c r="H338" s="17" t="s">
        <v>666</v>
      </c>
      <c r="I338" s="18" t="s">
        <v>670</v>
      </c>
      <c r="J338" s="15">
        <v>480</v>
      </c>
      <c r="K338" s="15">
        <v>25</v>
      </c>
      <c r="L338" s="20">
        <f t="shared" si="45"/>
        <v>5.2083333333333336E-2</v>
      </c>
      <c r="M338" s="12">
        <v>22</v>
      </c>
      <c r="N338" s="12">
        <v>3</v>
      </c>
      <c r="P338" s="32" t="s">
        <v>1077</v>
      </c>
      <c r="Q338" s="23" t="s">
        <v>962</v>
      </c>
    </row>
    <row r="339" spans="1:17" ht="16.5">
      <c r="A339" s="25">
        <v>46051</v>
      </c>
      <c r="B339" s="29">
        <v>0.47638888888888892</v>
      </c>
      <c r="C339" s="19">
        <v>46057</v>
      </c>
      <c r="D339" s="24" t="str">
        <f t="shared" si="44"/>
        <v>NBB</v>
      </c>
      <c r="E339" s="13" t="str">
        <f>VLOOKUP(D:D,工作表2!A:B,2,0)</f>
        <v>邦善</v>
      </c>
      <c r="F339" s="13" t="str">
        <f>VLOOKUP(D:D,工作表2!A:C,3,0)</f>
        <v>霧面黑</v>
      </c>
      <c r="G339" s="17">
        <v>10310730</v>
      </c>
      <c r="H339" s="17" t="s">
        <v>776</v>
      </c>
      <c r="I339" s="18" t="s">
        <v>781</v>
      </c>
      <c r="J339" s="15">
        <v>500</v>
      </c>
      <c r="K339" s="15">
        <v>19</v>
      </c>
      <c r="L339" s="20">
        <f t="shared" si="45"/>
        <v>3.7999999999999999E-2</v>
      </c>
      <c r="M339" s="12">
        <v>13</v>
      </c>
      <c r="N339" s="12">
        <v>6</v>
      </c>
      <c r="P339" s="32" t="s">
        <v>1074</v>
      </c>
      <c r="Q339" s="23" t="s">
        <v>963</v>
      </c>
    </row>
    <row r="340" spans="1:17" ht="16.5">
      <c r="A340" s="25">
        <v>46051</v>
      </c>
      <c r="B340" s="29">
        <v>0.59166666666666667</v>
      </c>
      <c r="C340" s="19">
        <v>46057</v>
      </c>
      <c r="D340" s="24" t="str">
        <f t="shared" si="44"/>
        <v>NGW</v>
      </c>
      <c r="E340" s="13" t="str">
        <f>VLOOKUP(D:D,工作表2!A:B,2,0)</f>
        <v>邦善</v>
      </c>
      <c r="F340" s="13" t="str">
        <f>VLOOKUP(D:D,工作表2!A:C,3,0)</f>
        <v>白</v>
      </c>
      <c r="G340" s="17">
        <v>10310692</v>
      </c>
      <c r="H340" s="17" t="s">
        <v>521</v>
      </c>
      <c r="I340" s="18" t="s">
        <v>533</v>
      </c>
      <c r="J340" s="15">
        <v>1876</v>
      </c>
      <c r="K340" s="15">
        <v>187</v>
      </c>
      <c r="L340" s="20">
        <f t="shared" si="45"/>
        <v>9.9680170575692964E-2</v>
      </c>
      <c r="M340" s="12">
        <v>133</v>
      </c>
      <c r="N340" s="12">
        <v>54</v>
      </c>
      <c r="P340" s="32" t="s">
        <v>500</v>
      </c>
      <c r="Q340" s="23"/>
    </row>
    <row r="341" spans="1:17" ht="16.5">
      <c r="A341" s="25">
        <v>46051</v>
      </c>
      <c r="B341" s="29">
        <v>0.58472222222222225</v>
      </c>
      <c r="C341" s="19">
        <v>46057</v>
      </c>
      <c r="D341" s="24" t="str">
        <f t="shared" si="44"/>
        <v>R7A</v>
      </c>
      <c r="E341" s="13" t="str">
        <f>VLOOKUP(D:D,工作表2!A:B,2,0)</f>
        <v>邦善</v>
      </c>
      <c r="F341" s="13" t="str">
        <f>VLOOKUP(D:D,工作表2!A:C,3,0)</f>
        <v>灰</v>
      </c>
      <c r="G341" s="17">
        <v>10310694</v>
      </c>
      <c r="H341" s="17" t="s">
        <v>775</v>
      </c>
      <c r="I341" s="18" t="s">
        <v>780</v>
      </c>
      <c r="J341" s="15">
        <v>1370</v>
      </c>
      <c r="K341" s="15">
        <v>141</v>
      </c>
      <c r="L341" s="20">
        <f t="shared" si="45"/>
        <v>0.10291970802919707</v>
      </c>
      <c r="M341" s="12">
        <v>92</v>
      </c>
      <c r="N341" s="12">
        <v>49</v>
      </c>
      <c r="P341" s="32" t="s">
        <v>500</v>
      </c>
      <c r="Q341" s="23" t="s">
        <v>961</v>
      </c>
    </row>
    <row r="342" spans="1:17" ht="16.5">
      <c r="A342" s="25">
        <v>46055</v>
      </c>
      <c r="B342" s="29">
        <v>0.6069444444444444</v>
      </c>
      <c r="C342" s="11">
        <v>46058</v>
      </c>
      <c r="D342" s="24" t="str">
        <f t="shared" ref="D342:D352" si="46">RIGHT(I342,3)</f>
        <v>RCA</v>
      </c>
      <c r="E342" s="13" t="str">
        <f>VLOOKUP(D:D,工作表2!A:B,2,0)</f>
        <v>邦善</v>
      </c>
      <c r="F342" s="13" t="str">
        <f>VLOOKUP(D:D,工作表2!A:C,3,0)</f>
        <v>灰</v>
      </c>
      <c r="G342" s="17">
        <v>10310704</v>
      </c>
      <c r="H342" s="17" t="s">
        <v>402</v>
      </c>
      <c r="I342" s="18" t="s">
        <v>404</v>
      </c>
      <c r="J342" s="15">
        <v>1330</v>
      </c>
      <c r="K342" s="15">
        <v>90</v>
      </c>
      <c r="L342" s="20">
        <f t="shared" ref="L342:L352" si="47">K342/J342</f>
        <v>6.7669172932330823E-2</v>
      </c>
      <c r="M342" s="12">
        <v>80</v>
      </c>
      <c r="N342" s="12">
        <v>10</v>
      </c>
      <c r="P342" s="32" t="s">
        <v>500</v>
      </c>
      <c r="Q342" s="23"/>
    </row>
    <row r="343" spans="1:17" ht="16.5">
      <c r="A343" s="25">
        <v>46057</v>
      </c>
      <c r="B343" s="29">
        <v>0.37361111111111112</v>
      </c>
      <c r="C343" s="11">
        <v>46058</v>
      </c>
      <c r="D343" s="24" t="str">
        <f t="shared" si="46"/>
        <v>QRB</v>
      </c>
      <c r="E343" s="13" t="str">
        <f>VLOOKUP(D:D,工作表2!A:B,2,0)</f>
        <v>邦善</v>
      </c>
      <c r="F343" s="13" t="str">
        <f>VLOOKUP(D:D,工作表2!A:C,3,0)</f>
        <v>霧面黑</v>
      </c>
      <c r="G343" s="17">
        <v>10312397</v>
      </c>
      <c r="H343" s="17" t="s">
        <v>170</v>
      </c>
      <c r="I343" s="18" t="s">
        <v>171</v>
      </c>
      <c r="J343" s="15">
        <v>25802</v>
      </c>
      <c r="K343" s="15">
        <v>757</v>
      </c>
      <c r="L343" s="20">
        <f t="shared" si="47"/>
        <v>2.9338810944887994E-2</v>
      </c>
      <c r="M343" s="12">
        <v>400</v>
      </c>
      <c r="N343" s="12">
        <v>326</v>
      </c>
      <c r="O343" s="15">
        <v>31</v>
      </c>
      <c r="P343" s="32" t="s">
        <v>500</v>
      </c>
      <c r="Q343" s="23"/>
    </row>
    <row r="344" spans="1:17" ht="16.5">
      <c r="A344" s="25">
        <v>46056</v>
      </c>
      <c r="B344" s="29">
        <v>0.47291666666666665</v>
      </c>
      <c r="C344" s="19">
        <v>46058</v>
      </c>
      <c r="D344" s="24" t="str">
        <f t="shared" si="46"/>
        <v>NBB</v>
      </c>
      <c r="E344" s="13" t="str">
        <f>VLOOKUP(D:D,工作表2!A:B,2,0)</f>
        <v>邦善</v>
      </c>
      <c r="F344" s="13" t="str">
        <f>VLOOKUP(D:D,工作表2!A:C,3,0)</f>
        <v>霧面黑</v>
      </c>
      <c r="G344" s="17">
        <v>10310690</v>
      </c>
      <c r="H344" s="17" t="s">
        <v>306</v>
      </c>
      <c r="I344" s="18" t="s">
        <v>307</v>
      </c>
      <c r="J344" s="15">
        <v>3724</v>
      </c>
      <c r="K344" s="15">
        <v>56</v>
      </c>
      <c r="L344" s="20">
        <f t="shared" si="47"/>
        <v>1.5037593984962405E-2</v>
      </c>
      <c r="M344" s="12">
        <v>52</v>
      </c>
      <c r="N344" s="12">
        <v>4</v>
      </c>
      <c r="P344" s="32" t="s">
        <v>500</v>
      </c>
      <c r="Q344" s="23"/>
    </row>
    <row r="345" spans="1:17" ht="16.5">
      <c r="A345" s="25">
        <v>46056</v>
      </c>
      <c r="B345" s="29">
        <v>0.63124999999999998</v>
      </c>
      <c r="C345" s="19">
        <v>46058</v>
      </c>
      <c r="D345" s="24" t="str">
        <f t="shared" si="46"/>
        <v>NGW</v>
      </c>
      <c r="E345" s="13" t="str">
        <f>VLOOKUP(D:D,工作表2!A:B,2,0)</f>
        <v>邦善</v>
      </c>
      <c r="F345" s="13" t="str">
        <f>VLOOKUP(D:D,工作表2!A:C,3,0)</f>
        <v>白</v>
      </c>
      <c r="G345" s="17">
        <v>10310677</v>
      </c>
      <c r="H345" s="17" t="s">
        <v>543</v>
      </c>
      <c r="I345" s="18" t="s">
        <v>554</v>
      </c>
      <c r="J345" s="15">
        <v>2660</v>
      </c>
      <c r="K345" s="15">
        <v>135</v>
      </c>
      <c r="L345" s="20">
        <f t="shared" si="47"/>
        <v>5.0751879699248117E-2</v>
      </c>
      <c r="M345" s="12">
        <v>90</v>
      </c>
      <c r="N345" s="12">
        <v>45</v>
      </c>
      <c r="P345" s="32" t="s">
        <v>500</v>
      </c>
      <c r="Q345" s="23"/>
    </row>
    <row r="346" spans="1:17" ht="16.5">
      <c r="A346" s="25">
        <v>46056</v>
      </c>
      <c r="C346" s="19">
        <v>46058</v>
      </c>
      <c r="D346" s="24" t="str">
        <f t="shared" si="46"/>
        <v>H3R</v>
      </c>
      <c r="E346" s="13" t="str">
        <f>VLOOKUP(D:D,工作表2!A:B,2,0)</f>
        <v>敦陽</v>
      </c>
      <c r="F346" s="13" t="str">
        <f>VLOOKUP(D:D,工作表2!A:C,3,0)</f>
        <v>紅</v>
      </c>
      <c r="G346" s="17">
        <v>10312807</v>
      </c>
      <c r="H346" s="17" t="s">
        <v>784</v>
      </c>
      <c r="I346" s="18" t="s">
        <v>786</v>
      </c>
      <c r="J346" s="15">
        <v>30</v>
      </c>
      <c r="K346" s="15">
        <v>10</v>
      </c>
      <c r="L346" s="20">
        <f t="shared" si="47"/>
        <v>0.33333333333333331</v>
      </c>
      <c r="M346" s="12">
        <v>8</v>
      </c>
      <c r="N346" s="12">
        <v>2</v>
      </c>
      <c r="P346" s="32" t="s">
        <v>500</v>
      </c>
      <c r="Q346" s="23"/>
    </row>
    <row r="347" spans="1:17" ht="16.5">
      <c r="A347" s="25">
        <v>46055</v>
      </c>
      <c r="B347" s="29">
        <v>0.58958333333333335</v>
      </c>
      <c r="C347" s="19">
        <v>46058</v>
      </c>
      <c r="D347" s="24" t="str">
        <f t="shared" si="46"/>
        <v>Q9B</v>
      </c>
      <c r="E347" s="13" t="str">
        <f>VLOOKUP(D:D,工作表2!A:B,2,0)</f>
        <v>邦善</v>
      </c>
      <c r="F347" s="13" t="str">
        <f>VLOOKUP(D:D,工作表2!A:C,3,0)</f>
        <v>黑</v>
      </c>
      <c r="G347" s="17">
        <v>10310777</v>
      </c>
      <c r="H347" s="17" t="s">
        <v>516</v>
      </c>
      <c r="I347" s="18" t="s">
        <v>528</v>
      </c>
      <c r="J347" s="15">
        <v>220</v>
      </c>
      <c r="K347" s="15">
        <v>24</v>
      </c>
      <c r="L347" s="20">
        <f t="shared" si="47"/>
        <v>0.10909090909090909</v>
      </c>
      <c r="M347" s="12">
        <v>14</v>
      </c>
      <c r="N347" s="12">
        <v>10</v>
      </c>
      <c r="P347" s="32" t="s">
        <v>500</v>
      </c>
      <c r="Q347" s="23" t="s">
        <v>962</v>
      </c>
    </row>
    <row r="348" spans="1:17" ht="16.5">
      <c r="A348" s="25">
        <v>46055</v>
      </c>
      <c r="B348" s="29">
        <v>0.65555555555555556</v>
      </c>
      <c r="C348" s="19">
        <v>46058</v>
      </c>
      <c r="D348" s="24" t="str">
        <f t="shared" si="46"/>
        <v>RCA</v>
      </c>
      <c r="E348" s="13" t="str">
        <f>VLOOKUP(D:D,工作表2!A:B,2,0)</f>
        <v>邦善</v>
      </c>
      <c r="F348" s="13" t="str">
        <f>VLOOKUP(D:D,工作表2!A:C,3,0)</f>
        <v>灰</v>
      </c>
      <c r="G348" s="17">
        <v>10313721</v>
      </c>
      <c r="H348" s="17" t="s">
        <v>744</v>
      </c>
      <c r="I348" s="18" t="s">
        <v>747</v>
      </c>
      <c r="J348" s="15">
        <v>480</v>
      </c>
      <c r="K348" s="15">
        <v>30</v>
      </c>
      <c r="L348" s="20">
        <f t="shared" si="47"/>
        <v>6.25E-2</v>
      </c>
      <c r="M348" s="12">
        <v>25</v>
      </c>
      <c r="N348" s="12">
        <v>5</v>
      </c>
      <c r="P348" s="32" t="s">
        <v>500</v>
      </c>
      <c r="Q348" s="23" t="s">
        <v>963</v>
      </c>
    </row>
    <row r="349" spans="1:17" ht="16.5">
      <c r="A349" s="25">
        <v>46055</v>
      </c>
      <c r="B349" s="29">
        <v>0.59652777777777777</v>
      </c>
      <c r="C349" s="19">
        <v>46058</v>
      </c>
      <c r="D349" s="24" t="str">
        <f t="shared" si="46"/>
        <v>SYL</v>
      </c>
      <c r="E349" s="13" t="str">
        <f>VLOOKUP(D:D,工作表2!A:B,2,0)</f>
        <v>邦善</v>
      </c>
      <c r="F349" s="13" t="str">
        <f>VLOOKUP(D:D,工作表2!A:C,3,0)</f>
        <v>藍</v>
      </c>
      <c r="G349" s="17">
        <v>10310721</v>
      </c>
      <c r="H349" s="17" t="s">
        <v>424</v>
      </c>
      <c r="I349" s="18" t="s">
        <v>429</v>
      </c>
      <c r="J349" s="15">
        <v>240</v>
      </c>
      <c r="K349" s="15">
        <v>9</v>
      </c>
      <c r="L349" s="20">
        <f t="shared" si="47"/>
        <v>3.7499999999999999E-2</v>
      </c>
      <c r="M349" s="12">
        <v>7</v>
      </c>
      <c r="N349" s="12">
        <v>2</v>
      </c>
      <c r="P349" s="32" t="s">
        <v>500</v>
      </c>
      <c r="Q349" s="23"/>
    </row>
    <row r="350" spans="1:17" ht="16.5">
      <c r="A350" s="25">
        <v>46055</v>
      </c>
      <c r="B350" s="29">
        <v>0.54861111111111105</v>
      </c>
      <c r="C350" s="19">
        <v>46058</v>
      </c>
      <c r="D350" s="24" t="str">
        <f t="shared" si="46"/>
        <v>Q9B</v>
      </c>
      <c r="E350" s="13" t="str">
        <f>VLOOKUP(D:D,工作表2!A:B,2,0)</f>
        <v>邦善</v>
      </c>
      <c r="F350" s="13" t="str">
        <f>VLOOKUP(D:D,工作表2!A:C,3,0)</f>
        <v>黑</v>
      </c>
      <c r="G350" s="17">
        <v>10310733</v>
      </c>
      <c r="H350" s="17" t="s">
        <v>730</v>
      </c>
      <c r="I350" s="18" t="s">
        <v>737</v>
      </c>
      <c r="J350" s="15">
        <v>1000</v>
      </c>
      <c r="K350" s="15">
        <v>106</v>
      </c>
      <c r="L350" s="20">
        <f t="shared" si="47"/>
        <v>0.106</v>
      </c>
      <c r="M350" s="12">
        <v>91</v>
      </c>
      <c r="N350" s="12">
        <v>15</v>
      </c>
      <c r="P350" s="32" t="s">
        <v>500</v>
      </c>
      <c r="Q350" s="23" t="s">
        <v>963</v>
      </c>
    </row>
    <row r="351" spans="1:17" ht="16.5">
      <c r="A351" s="25">
        <v>46052</v>
      </c>
      <c r="B351" s="29">
        <v>0.36458333333333331</v>
      </c>
      <c r="C351" s="19">
        <v>46058</v>
      </c>
      <c r="D351" s="24" t="str">
        <f t="shared" si="46"/>
        <v>Q9B</v>
      </c>
      <c r="E351" s="13" t="str">
        <f>VLOOKUP(D:D,工作表2!A:B,2,0)</f>
        <v>邦善</v>
      </c>
      <c r="F351" s="13" t="str">
        <f>VLOOKUP(D:D,工作表2!A:C,3,0)</f>
        <v>黑</v>
      </c>
      <c r="G351" s="17">
        <v>10310731</v>
      </c>
      <c r="H351" s="17" t="s">
        <v>631</v>
      </c>
      <c r="I351" s="18" t="s">
        <v>637</v>
      </c>
      <c r="J351" s="15">
        <v>984</v>
      </c>
      <c r="K351" s="15">
        <v>107</v>
      </c>
      <c r="L351" s="20">
        <f t="shared" si="47"/>
        <v>0.10873983739837398</v>
      </c>
      <c r="M351" s="12">
        <v>86</v>
      </c>
      <c r="N351" s="12">
        <v>21</v>
      </c>
      <c r="P351" s="32" t="s">
        <v>500</v>
      </c>
      <c r="Q351" s="23" t="s">
        <v>962</v>
      </c>
    </row>
    <row r="352" spans="1:17" ht="16.5">
      <c r="A352" s="25">
        <v>46056</v>
      </c>
      <c r="B352" s="29">
        <v>0.56041666666666667</v>
      </c>
      <c r="C352" s="19">
        <v>46058</v>
      </c>
      <c r="D352" s="24" t="str">
        <f t="shared" si="46"/>
        <v>Q9B</v>
      </c>
      <c r="E352" s="13" t="str">
        <f>VLOOKUP(D:D,工作表2!A:B,2,0)</f>
        <v>邦善</v>
      </c>
      <c r="F352" s="13" t="str">
        <f>VLOOKUP(D:D,工作表2!A:C,3,0)</f>
        <v>黑</v>
      </c>
      <c r="G352" s="17">
        <v>10310736</v>
      </c>
      <c r="H352" s="17" t="s">
        <v>783</v>
      </c>
      <c r="I352" s="18" t="s">
        <v>785</v>
      </c>
      <c r="J352" s="15">
        <v>1680</v>
      </c>
      <c r="K352" s="15">
        <v>206</v>
      </c>
      <c r="L352" s="20">
        <f t="shared" si="47"/>
        <v>0.12261904761904761</v>
      </c>
      <c r="M352" s="12">
        <v>180</v>
      </c>
      <c r="N352" s="12">
        <v>26</v>
      </c>
      <c r="P352" s="32" t="s">
        <v>500</v>
      </c>
      <c r="Q352" s="23" t="s">
        <v>963</v>
      </c>
    </row>
    <row r="353" spans="1:25" ht="16.5">
      <c r="A353" s="25">
        <v>46056</v>
      </c>
      <c r="B353" s="29">
        <v>0.62569444444444444</v>
      </c>
      <c r="C353" s="19">
        <v>46059</v>
      </c>
      <c r="D353" s="24" t="str">
        <f t="shared" ref="D353:D373" si="48">RIGHT(I353,3)</f>
        <v>TFA</v>
      </c>
      <c r="E353" s="13" t="str">
        <f>VLOOKUP(D:D,工作表2!A:B,2,0)</f>
        <v>邦善</v>
      </c>
      <c r="F353" s="13" t="str">
        <f>VLOOKUP(D:D,工作表2!A:C,3,0)</f>
        <v>灰</v>
      </c>
      <c r="G353" s="17">
        <v>10312854</v>
      </c>
      <c r="H353" s="17" t="s">
        <v>789</v>
      </c>
      <c r="I353" s="18" t="s">
        <v>795</v>
      </c>
      <c r="J353" s="15">
        <v>50</v>
      </c>
      <c r="K353" s="15">
        <v>4</v>
      </c>
      <c r="L353" s="20">
        <f t="shared" ref="L353:L373" si="49">K353/J353</f>
        <v>0.08</v>
      </c>
      <c r="M353" s="12">
        <v>3</v>
      </c>
      <c r="N353" s="12">
        <v>1</v>
      </c>
      <c r="P353" s="32" t="s">
        <v>500</v>
      </c>
      <c r="Q353" s="23"/>
    </row>
    <row r="354" spans="1:25" ht="16.5">
      <c r="A354" s="25">
        <v>46055</v>
      </c>
      <c r="B354" s="29">
        <v>0.62708333333333333</v>
      </c>
      <c r="C354" s="19">
        <v>46059</v>
      </c>
      <c r="D354" s="24" t="str">
        <f t="shared" si="48"/>
        <v>VEA</v>
      </c>
      <c r="E354" s="13" t="str">
        <f>VLOOKUP(D:D,工作表2!A:B,2,0)</f>
        <v>敦陽</v>
      </c>
      <c r="F354" s="13" t="str">
        <f>VLOOKUP(D:D,工作表2!A:C,3,0)</f>
        <v>灰</v>
      </c>
      <c r="G354" s="17">
        <v>10312852</v>
      </c>
      <c r="H354" s="17" t="s">
        <v>788</v>
      </c>
      <c r="I354" s="18" t="s">
        <v>794</v>
      </c>
      <c r="J354" s="15">
        <v>80</v>
      </c>
      <c r="K354" s="15">
        <v>10</v>
      </c>
      <c r="L354" s="20">
        <f t="shared" si="49"/>
        <v>0.125</v>
      </c>
      <c r="M354" s="12">
        <v>8</v>
      </c>
      <c r="N354" s="12">
        <v>2</v>
      </c>
      <c r="P354" s="32" t="s">
        <v>500</v>
      </c>
      <c r="Q354" s="23"/>
    </row>
    <row r="355" spans="1:25" ht="16.5">
      <c r="A355" s="25">
        <v>46056</v>
      </c>
      <c r="B355" s="29">
        <v>0.53055555555555556</v>
      </c>
      <c r="C355" s="19">
        <v>46059</v>
      </c>
      <c r="D355" s="24" t="str">
        <f t="shared" si="48"/>
        <v>PLB</v>
      </c>
      <c r="E355" s="13" t="str">
        <f>VLOOKUP(D:D,工作表2!A:B,2,0)</f>
        <v>邦善</v>
      </c>
      <c r="F355" s="13" t="str">
        <f>VLOOKUP(D:D,工作表2!A:C,3,0)</f>
        <v>霧面黑</v>
      </c>
      <c r="G355" s="17">
        <v>10312793</v>
      </c>
      <c r="H355" s="17" t="s">
        <v>408</v>
      </c>
      <c r="I355" s="18" t="s">
        <v>411</v>
      </c>
      <c r="J355" s="15">
        <v>2926</v>
      </c>
      <c r="K355" s="15">
        <v>56</v>
      </c>
      <c r="L355" s="20">
        <f t="shared" si="49"/>
        <v>1.9138755980861243E-2</v>
      </c>
      <c r="M355" s="12">
        <v>45</v>
      </c>
      <c r="N355" s="12">
        <v>11</v>
      </c>
      <c r="P355" s="32" t="s">
        <v>500</v>
      </c>
      <c r="Q355" s="23"/>
    </row>
    <row r="356" spans="1:25" ht="16.5">
      <c r="A356" s="25">
        <v>46058</v>
      </c>
      <c r="B356" s="29">
        <v>0.4201388888888889</v>
      </c>
      <c r="C356" s="19">
        <v>46059</v>
      </c>
      <c r="D356" s="24" t="str">
        <f t="shared" si="48"/>
        <v>QRB</v>
      </c>
      <c r="E356" s="13" t="str">
        <f>VLOOKUP(D:D,工作表2!A:B,2,0)</f>
        <v>邦善</v>
      </c>
      <c r="F356" s="13" t="str">
        <f>VLOOKUP(D:D,工作表2!A:C,3,0)</f>
        <v>霧面黑</v>
      </c>
      <c r="G356" s="17">
        <v>10312403</v>
      </c>
      <c r="H356" s="17" t="s">
        <v>170</v>
      </c>
      <c r="I356" s="18" t="s">
        <v>171</v>
      </c>
      <c r="J356" s="15">
        <v>7182</v>
      </c>
      <c r="K356" s="15">
        <v>192</v>
      </c>
      <c r="L356" s="20">
        <f t="shared" si="49"/>
        <v>2.6733500417710943E-2</v>
      </c>
      <c r="M356" s="12">
        <v>165</v>
      </c>
      <c r="N356" s="12">
        <v>26</v>
      </c>
      <c r="O356" s="15">
        <v>1</v>
      </c>
      <c r="P356" s="32" t="s">
        <v>500</v>
      </c>
      <c r="Q356" s="23"/>
    </row>
    <row r="357" spans="1:25">
      <c r="A357" s="25">
        <v>46058</v>
      </c>
      <c r="B357" s="29">
        <v>0.44791666666666669</v>
      </c>
      <c r="C357" s="19">
        <v>46059</v>
      </c>
      <c r="D357" s="24" t="str">
        <f t="shared" si="48"/>
        <v>QSB</v>
      </c>
      <c r="E357" s="13" t="str">
        <f>VLOOKUP(D:D,工作表2!A:B,2,0)</f>
        <v>邦善</v>
      </c>
      <c r="F357" s="13" t="str">
        <f>VLOOKUP(D:D,工作表2!A:C,3,0)</f>
        <v>黑</v>
      </c>
      <c r="G357" s="17">
        <v>10312392</v>
      </c>
      <c r="H357" s="17" t="s">
        <v>583</v>
      </c>
      <c r="I357" s="18" t="s">
        <v>587</v>
      </c>
      <c r="J357" s="15">
        <v>9044</v>
      </c>
      <c r="K357" s="15">
        <v>528</v>
      </c>
      <c r="L357" s="20">
        <f t="shared" si="49"/>
        <v>5.83812472357364E-2</v>
      </c>
      <c r="M357" s="12">
        <v>456</v>
      </c>
      <c r="N357" s="12">
        <v>48</v>
      </c>
      <c r="P357" s="32" t="s">
        <v>801</v>
      </c>
      <c r="Q357" s="23"/>
      <c r="Y357" s="52">
        <v>24</v>
      </c>
    </row>
    <row r="358" spans="1:25" ht="16.5">
      <c r="A358" s="25">
        <v>46058</v>
      </c>
      <c r="B358" s="29">
        <v>0.54166666666666663</v>
      </c>
      <c r="C358" s="19">
        <v>46059</v>
      </c>
      <c r="D358" s="24" t="str">
        <f t="shared" si="48"/>
        <v>S8A</v>
      </c>
      <c r="E358" s="13" t="str">
        <f>VLOOKUP(D:D,工作表2!A:B,2,0)</f>
        <v>邦善</v>
      </c>
      <c r="F358" s="13" t="str">
        <f>VLOOKUP(D:D,工作表2!A:C,3,0)</f>
        <v>灰</v>
      </c>
      <c r="G358" s="17">
        <v>10312416</v>
      </c>
      <c r="H358" s="17" t="s">
        <v>612</v>
      </c>
      <c r="I358" s="18" t="s">
        <v>622</v>
      </c>
      <c r="J358" s="15">
        <v>1596</v>
      </c>
      <c r="K358" s="15">
        <v>57</v>
      </c>
      <c r="L358" s="20">
        <f t="shared" si="49"/>
        <v>3.5714285714285712E-2</v>
      </c>
      <c r="M358" s="12">
        <v>50</v>
      </c>
      <c r="N358" s="12">
        <v>7</v>
      </c>
      <c r="P358" s="32" t="s">
        <v>500</v>
      </c>
      <c r="Q358" s="23"/>
    </row>
    <row r="359" spans="1:25" ht="16.5">
      <c r="A359" s="25">
        <v>46058</v>
      </c>
      <c r="B359" s="29">
        <v>0.52222222222222225</v>
      </c>
      <c r="C359" s="19">
        <v>46059</v>
      </c>
      <c r="D359" s="24" t="str">
        <f t="shared" si="48"/>
        <v>TZB</v>
      </c>
      <c r="E359" s="13" t="str">
        <f>VLOOKUP(D:D,工作表2!A:B,2,0)</f>
        <v>邦善</v>
      </c>
      <c r="F359" s="13" t="str">
        <f>VLOOKUP(D:D,工作表2!A:C,3,0)</f>
        <v>黑</v>
      </c>
      <c r="G359" s="17">
        <v>10312414</v>
      </c>
      <c r="H359" s="17" t="s">
        <v>644</v>
      </c>
      <c r="I359" s="18" t="s">
        <v>654</v>
      </c>
      <c r="J359" s="15">
        <v>798</v>
      </c>
      <c r="K359" s="15">
        <v>100</v>
      </c>
      <c r="L359" s="20">
        <f t="shared" si="49"/>
        <v>0.12531328320802004</v>
      </c>
      <c r="M359" s="12">
        <v>84</v>
      </c>
      <c r="N359" s="12">
        <v>16</v>
      </c>
      <c r="P359" s="32" t="s">
        <v>500</v>
      </c>
      <c r="Q359" s="23"/>
    </row>
    <row r="360" spans="1:25" ht="16.5">
      <c r="A360" s="25">
        <v>46058</v>
      </c>
      <c r="B360" s="29">
        <v>0.5493055555555556</v>
      </c>
      <c r="C360" s="19">
        <v>46059</v>
      </c>
      <c r="D360" s="24" t="str">
        <f t="shared" si="48"/>
        <v>U3L</v>
      </c>
      <c r="E360" s="13" t="str">
        <f>VLOOKUP(D:D,工作表2!A:B,2,0)</f>
        <v>邦善</v>
      </c>
      <c r="F360" s="13" t="str">
        <f>VLOOKUP(D:D,工作表2!A:C,3,0)</f>
        <v>藍</v>
      </c>
      <c r="G360" s="17">
        <v>10312410</v>
      </c>
      <c r="H360" s="17" t="s">
        <v>392</v>
      </c>
      <c r="I360" s="18" t="s">
        <v>394</v>
      </c>
      <c r="J360" s="15">
        <v>1330</v>
      </c>
      <c r="K360" s="15">
        <v>29</v>
      </c>
      <c r="L360" s="20">
        <f t="shared" si="49"/>
        <v>2.180451127819549E-2</v>
      </c>
      <c r="M360" s="12">
        <v>26</v>
      </c>
      <c r="N360" s="12">
        <v>3</v>
      </c>
      <c r="P360" s="32" t="s">
        <v>500</v>
      </c>
      <c r="Q360" s="23"/>
    </row>
    <row r="361" spans="1:25" ht="16.5">
      <c r="A361" s="25">
        <v>46058</v>
      </c>
      <c r="B361" s="29">
        <v>0.53333333333333333</v>
      </c>
      <c r="C361" s="19">
        <v>46059</v>
      </c>
      <c r="D361" s="24" t="str">
        <f t="shared" si="48"/>
        <v>VLS</v>
      </c>
      <c r="E361" s="13" t="str">
        <f>VLOOKUP(D:D,工作表2!A:B,2,0)</f>
        <v>邦善</v>
      </c>
      <c r="F361" s="13" t="str">
        <f>VLOOKUP(D:D,工作表2!A:C,3,0)</f>
        <v>銀</v>
      </c>
      <c r="G361" s="17">
        <v>10312419</v>
      </c>
      <c r="H361" s="17" t="s">
        <v>383</v>
      </c>
      <c r="I361" s="18" t="s">
        <v>388</v>
      </c>
      <c r="J361" s="15">
        <v>1862</v>
      </c>
      <c r="K361" s="15">
        <v>38</v>
      </c>
      <c r="L361" s="20">
        <f t="shared" si="49"/>
        <v>2.0408163265306121E-2</v>
      </c>
      <c r="M361" s="12">
        <v>36</v>
      </c>
      <c r="N361" s="12">
        <v>2</v>
      </c>
      <c r="P361" s="32" t="s">
        <v>500</v>
      </c>
      <c r="Q361" s="23"/>
    </row>
    <row r="362" spans="1:25">
      <c r="A362" s="25">
        <v>46058</v>
      </c>
      <c r="B362" s="29">
        <v>0.56736111111111109</v>
      </c>
      <c r="C362" s="19">
        <v>46059</v>
      </c>
      <c r="D362" s="24" t="str">
        <f t="shared" si="48"/>
        <v>VWL</v>
      </c>
      <c r="E362" s="13" t="str">
        <f>VLOOKUP(D:D,工作表2!A:B,2,0)</f>
        <v>邦善</v>
      </c>
      <c r="F362" s="13" t="str">
        <f>VLOOKUP(D:D,工作表2!A:C,3,0)</f>
        <v>藍</v>
      </c>
      <c r="G362" s="17">
        <v>10312418</v>
      </c>
      <c r="H362" s="17" t="s">
        <v>400</v>
      </c>
      <c r="I362" s="18" t="s">
        <v>401</v>
      </c>
      <c r="J362" s="15">
        <v>798</v>
      </c>
      <c r="K362" s="15">
        <v>78</v>
      </c>
      <c r="L362" s="20">
        <f t="shared" si="49"/>
        <v>9.7744360902255634E-2</v>
      </c>
      <c r="M362" s="12">
        <v>52</v>
      </c>
      <c r="N362" s="12">
        <v>17</v>
      </c>
      <c r="P362" s="32" t="s">
        <v>800</v>
      </c>
      <c r="Q362" s="23"/>
      <c r="Y362" s="52">
        <v>9</v>
      </c>
    </row>
    <row r="363" spans="1:25">
      <c r="A363" s="25">
        <v>46058</v>
      </c>
      <c r="B363" s="29">
        <v>0.52569444444444446</v>
      </c>
      <c r="C363" s="19">
        <v>46059</v>
      </c>
      <c r="D363" s="24" t="str">
        <f t="shared" si="48"/>
        <v>WZL</v>
      </c>
      <c r="E363" s="13" t="str">
        <f>VLOOKUP(D:D,工作表2!A:B,2,0)</f>
        <v>邦善</v>
      </c>
      <c r="F363" s="13" t="str">
        <f>VLOOKUP(D:D,工作表2!A:C,3,0)</f>
        <v>銀</v>
      </c>
      <c r="G363" s="17">
        <v>10312421</v>
      </c>
      <c r="H363" s="17" t="s">
        <v>412</v>
      </c>
      <c r="I363" s="18" t="s">
        <v>414</v>
      </c>
      <c r="J363" s="15">
        <v>2128</v>
      </c>
      <c r="K363" s="15">
        <v>108</v>
      </c>
      <c r="L363" s="20">
        <f t="shared" si="49"/>
        <v>5.0751879699248117E-2</v>
      </c>
      <c r="M363" s="12">
        <v>89</v>
      </c>
      <c r="N363" s="12">
        <v>12</v>
      </c>
      <c r="P363" s="32" t="s">
        <v>799</v>
      </c>
      <c r="Q363" s="23"/>
      <c r="Y363" s="52">
        <v>7</v>
      </c>
    </row>
    <row r="364" spans="1:25" ht="16.5">
      <c r="C364" s="19">
        <v>46059</v>
      </c>
      <c r="D364" s="24" t="str">
        <f t="shared" si="48"/>
        <v>XFW</v>
      </c>
      <c r="E364" s="13" t="str">
        <f>VLOOKUP(D:D,工作表2!A:B,2,0)</f>
        <v>敦陽</v>
      </c>
      <c r="F364" s="13" t="str">
        <f>VLOOKUP(D:D,工作表2!A:C,3,0)</f>
        <v>白</v>
      </c>
      <c r="G364" s="17">
        <v>10301954</v>
      </c>
      <c r="H364" s="17" t="s">
        <v>790</v>
      </c>
      <c r="I364" s="18" t="s">
        <v>796</v>
      </c>
      <c r="J364" s="15">
        <v>60</v>
      </c>
      <c r="K364" s="15">
        <v>7</v>
      </c>
      <c r="L364" s="20">
        <f t="shared" si="49"/>
        <v>0.11666666666666667</v>
      </c>
      <c r="M364" s="12">
        <v>5</v>
      </c>
      <c r="N364" s="12">
        <v>2</v>
      </c>
      <c r="P364" s="32" t="s">
        <v>500</v>
      </c>
      <c r="Q364" s="23"/>
    </row>
    <row r="365" spans="1:25" ht="16.5">
      <c r="C365" s="19">
        <v>46059</v>
      </c>
      <c r="D365" s="24" t="str">
        <f t="shared" si="48"/>
        <v>XFW</v>
      </c>
      <c r="E365" s="13" t="str">
        <f>VLOOKUP(D:D,工作表2!A:B,2,0)</f>
        <v>敦陽</v>
      </c>
      <c r="F365" s="13" t="str">
        <f>VLOOKUP(D:D,工作表2!A:C,3,0)</f>
        <v>白</v>
      </c>
      <c r="G365" s="17">
        <v>10301959</v>
      </c>
      <c r="H365" s="17" t="s">
        <v>791</v>
      </c>
      <c r="I365" s="18" t="s">
        <v>797</v>
      </c>
      <c r="J365" s="15">
        <v>60</v>
      </c>
      <c r="K365" s="15">
        <v>10</v>
      </c>
      <c r="L365" s="20">
        <f t="shared" si="49"/>
        <v>0.16666666666666666</v>
      </c>
      <c r="M365" s="12">
        <v>7</v>
      </c>
      <c r="N365" s="12">
        <v>3</v>
      </c>
      <c r="P365" s="32" t="s">
        <v>500</v>
      </c>
      <c r="Q365" s="23"/>
    </row>
    <row r="366" spans="1:25" ht="16.5">
      <c r="A366" s="25">
        <v>46056</v>
      </c>
      <c r="B366" s="29">
        <v>0.61249999999999993</v>
      </c>
      <c r="C366" s="19">
        <v>46059</v>
      </c>
      <c r="D366" s="24" t="str">
        <f t="shared" si="48"/>
        <v>R7A</v>
      </c>
      <c r="E366" s="13" t="str">
        <f>VLOOKUP(D:D,工作表2!A:B,2,0)</f>
        <v>邦善</v>
      </c>
      <c r="F366" s="13" t="str">
        <f>VLOOKUP(D:D,工作表2!A:C,3,0)</f>
        <v>灰</v>
      </c>
      <c r="G366" s="17">
        <v>10310686</v>
      </c>
      <c r="H366" s="17" t="s">
        <v>767</v>
      </c>
      <c r="I366" s="18" t="s">
        <v>770</v>
      </c>
      <c r="J366" s="15">
        <v>1330</v>
      </c>
      <c r="K366" s="15">
        <v>94</v>
      </c>
      <c r="L366" s="20">
        <f t="shared" si="49"/>
        <v>7.067669172932331E-2</v>
      </c>
      <c r="M366" s="12">
        <v>64</v>
      </c>
      <c r="N366" s="12">
        <v>30</v>
      </c>
      <c r="P366" s="32" t="s">
        <v>500</v>
      </c>
      <c r="Q366" s="23"/>
    </row>
    <row r="367" spans="1:25" ht="16.5">
      <c r="A367" s="25">
        <v>46056</v>
      </c>
      <c r="B367" s="29">
        <v>0.62222222222222223</v>
      </c>
      <c r="C367" s="19">
        <v>46059</v>
      </c>
      <c r="D367" s="24" t="str">
        <f t="shared" si="48"/>
        <v>VPL</v>
      </c>
      <c r="E367" s="13" t="str">
        <f>VLOOKUP(D:D,工作表2!A:B,2,0)</f>
        <v>邦善</v>
      </c>
      <c r="F367" s="13" t="str">
        <f>VLOOKUP(D:D,工作表2!A:C,3,0)</f>
        <v>藍</v>
      </c>
      <c r="G367" s="17">
        <v>10310689</v>
      </c>
      <c r="H367" s="17" t="s">
        <v>325</v>
      </c>
      <c r="I367" s="18" t="s">
        <v>326</v>
      </c>
      <c r="J367" s="15">
        <v>798</v>
      </c>
      <c r="K367" s="15">
        <v>44</v>
      </c>
      <c r="L367" s="20">
        <f t="shared" si="49"/>
        <v>5.5137844611528819E-2</v>
      </c>
      <c r="M367" s="12">
        <v>30</v>
      </c>
      <c r="N367" s="12">
        <v>14</v>
      </c>
      <c r="P367" s="32" t="s">
        <v>500</v>
      </c>
      <c r="Q367" s="23"/>
    </row>
    <row r="368" spans="1:25" ht="16.5">
      <c r="A368" s="25">
        <v>46057</v>
      </c>
      <c r="B368" s="29">
        <v>0.61805555555555558</v>
      </c>
      <c r="C368" s="19">
        <v>46059</v>
      </c>
      <c r="D368" s="24" t="str">
        <f t="shared" si="48"/>
        <v>78A</v>
      </c>
      <c r="E368" s="13" t="str">
        <f>VLOOKUP(D:D,工作表2!A:B,2,0)</f>
        <v>敦陽</v>
      </c>
      <c r="F368" s="13" t="str">
        <f>VLOOKUP(D:D,工作表2!A:C,3,0)</f>
        <v>灰</v>
      </c>
      <c r="G368" s="17">
        <v>10312825</v>
      </c>
      <c r="H368" s="17" t="s">
        <v>545</v>
      </c>
      <c r="I368" s="18" t="s">
        <v>556</v>
      </c>
      <c r="J368" s="15">
        <v>80</v>
      </c>
      <c r="K368" s="15">
        <v>10</v>
      </c>
      <c r="L368" s="20">
        <f t="shared" si="49"/>
        <v>0.125</v>
      </c>
      <c r="M368" s="12">
        <v>8</v>
      </c>
      <c r="N368" s="12">
        <v>2</v>
      </c>
      <c r="P368" s="32" t="s">
        <v>500</v>
      </c>
      <c r="Q368" s="23" t="s">
        <v>961</v>
      </c>
    </row>
    <row r="369" spans="1:22" ht="16.5">
      <c r="A369" s="25">
        <v>46056</v>
      </c>
      <c r="B369" s="29">
        <v>0.64444444444444449</v>
      </c>
      <c r="C369" s="19">
        <v>46059</v>
      </c>
      <c r="D369" s="24" t="str">
        <f t="shared" si="48"/>
        <v>NGW</v>
      </c>
      <c r="E369" s="13" t="str">
        <f>VLOOKUP(D:D,工作表2!A:B,2,0)</f>
        <v>邦善</v>
      </c>
      <c r="F369" s="13" t="str">
        <f>VLOOKUP(D:D,工作表2!A:C,3,0)</f>
        <v>白</v>
      </c>
      <c r="G369" s="17">
        <v>10310710</v>
      </c>
      <c r="H369" s="17" t="s">
        <v>714</v>
      </c>
      <c r="I369" s="18" t="s">
        <v>717</v>
      </c>
      <c r="J369" s="15">
        <v>240</v>
      </c>
      <c r="K369" s="15">
        <v>17</v>
      </c>
      <c r="L369" s="20">
        <f t="shared" si="49"/>
        <v>7.0833333333333331E-2</v>
      </c>
      <c r="M369" s="12">
        <v>12</v>
      </c>
      <c r="N369" s="12">
        <v>5</v>
      </c>
      <c r="P369" s="32" t="s">
        <v>500</v>
      </c>
      <c r="Q369" s="23" t="s">
        <v>963</v>
      </c>
    </row>
    <row r="370" spans="1:22" ht="16.5">
      <c r="A370" s="25">
        <v>46057</v>
      </c>
      <c r="B370" s="29">
        <v>0.58819444444444446</v>
      </c>
      <c r="C370" s="19">
        <v>46059</v>
      </c>
      <c r="D370" s="24" t="str">
        <f t="shared" si="48"/>
        <v>SYL</v>
      </c>
      <c r="E370" s="13" t="str">
        <f>VLOOKUP(D:D,工作表2!A:B,2,0)</f>
        <v>邦善</v>
      </c>
      <c r="F370" s="13" t="str">
        <f>VLOOKUP(D:D,工作表2!A:C,3,0)</f>
        <v>藍</v>
      </c>
      <c r="G370" s="17">
        <v>10310717</v>
      </c>
      <c r="H370" s="17" t="s">
        <v>787</v>
      </c>
      <c r="I370" s="18" t="s">
        <v>793</v>
      </c>
      <c r="J370" s="15">
        <v>760</v>
      </c>
      <c r="K370" s="15">
        <v>33</v>
      </c>
      <c r="L370" s="20">
        <f t="shared" si="49"/>
        <v>4.3421052631578951E-2</v>
      </c>
      <c r="M370" s="12">
        <v>25</v>
      </c>
      <c r="N370" s="12">
        <v>8</v>
      </c>
      <c r="P370" s="32" t="s">
        <v>500</v>
      </c>
      <c r="Q370" s="23" t="s">
        <v>963</v>
      </c>
    </row>
    <row r="371" spans="1:22" ht="16.5">
      <c r="A371" s="25">
        <v>46057</v>
      </c>
      <c r="B371" s="29">
        <v>0.53125</v>
      </c>
      <c r="C371" s="19">
        <v>46059</v>
      </c>
      <c r="D371" s="24" t="str">
        <f t="shared" si="48"/>
        <v>Q9B</v>
      </c>
      <c r="E371" s="13" t="str">
        <f>VLOOKUP(D:D,工作表2!A:B,2,0)</f>
        <v>邦善</v>
      </c>
      <c r="F371" s="13" t="str">
        <f>VLOOKUP(D:D,工作表2!A:C,3,0)</f>
        <v>黑</v>
      </c>
      <c r="G371" s="17">
        <v>10310735</v>
      </c>
      <c r="H371" s="17" t="s">
        <v>792</v>
      </c>
      <c r="I371" s="18" t="s">
        <v>798</v>
      </c>
      <c r="J371" s="15">
        <v>1720</v>
      </c>
      <c r="K371" s="15">
        <v>135</v>
      </c>
      <c r="L371" s="20">
        <f t="shared" si="49"/>
        <v>7.8488372093023256E-2</v>
      </c>
      <c r="M371" s="12">
        <v>95</v>
      </c>
      <c r="N371" s="12">
        <v>40</v>
      </c>
      <c r="P371" s="32" t="s">
        <v>500</v>
      </c>
      <c r="Q371" s="23" t="s">
        <v>962</v>
      </c>
    </row>
    <row r="372" spans="1:22" ht="16.5">
      <c r="A372" s="25">
        <v>46058</v>
      </c>
      <c r="C372" s="19">
        <v>46059</v>
      </c>
      <c r="D372" s="24" t="str">
        <f t="shared" si="48"/>
        <v>NGW</v>
      </c>
      <c r="E372" s="13" t="str">
        <f>VLOOKUP(D:D,工作表2!A:B,2,0)</f>
        <v>邦善</v>
      </c>
      <c r="F372" s="13" t="str">
        <f>VLOOKUP(D:D,工作表2!A:C,3,0)</f>
        <v>白</v>
      </c>
      <c r="G372" s="17">
        <v>10316416</v>
      </c>
      <c r="H372" s="17" t="s">
        <v>521</v>
      </c>
      <c r="I372" s="18" t="s">
        <v>533</v>
      </c>
      <c r="J372" s="15">
        <v>402</v>
      </c>
      <c r="K372" s="15">
        <v>42</v>
      </c>
      <c r="L372" s="20">
        <f t="shared" si="49"/>
        <v>0.1044776119402985</v>
      </c>
      <c r="M372" s="12">
        <v>30</v>
      </c>
      <c r="N372" s="12">
        <v>12</v>
      </c>
      <c r="P372" s="32" t="s">
        <v>500</v>
      </c>
      <c r="Q372" s="23" t="s">
        <v>961</v>
      </c>
    </row>
    <row r="373" spans="1:22" ht="16.5">
      <c r="A373" s="25">
        <v>46057</v>
      </c>
      <c r="C373" s="19">
        <v>46059</v>
      </c>
      <c r="D373" s="24" t="str">
        <f t="shared" si="48"/>
        <v>N8B</v>
      </c>
      <c r="E373" s="13" t="str">
        <f>VLOOKUP(D:D,工作表2!A:B,2,0)</f>
        <v>邦善</v>
      </c>
      <c r="F373" s="13" t="str">
        <f>VLOOKUP(D:D,工作表2!A:C,3,0)</f>
        <v>霧面黑</v>
      </c>
      <c r="G373" s="17">
        <v>10310696</v>
      </c>
      <c r="H373" s="17" t="s">
        <v>613</v>
      </c>
      <c r="I373" s="18" t="s">
        <v>620</v>
      </c>
      <c r="J373" s="15">
        <v>1206</v>
      </c>
      <c r="K373" s="15">
        <v>63</v>
      </c>
      <c r="L373" s="20">
        <f t="shared" si="49"/>
        <v>5.2238805970149252E-2</v>
      </c>
      <c r="M373" s="12">
        <v>50</v>
      </c>
      <c r="N373" s="12">
        <v>13</v>
      </c>
      <c r="P373" s="32" t="s">
        <v>500</v>
      </c>
      <c r="Q373" s="23" t="s">
        <v>961</v>
      </c>
    </row>
    <row r="374" spans="1:22">
      <c r="A374" s="25">
        <v>46056</v>
      </c>
      <c r="B374" s="29">
        <v>0.62708333333333333</v>
      </c>
      <c r="C374" s="11">
        <v>46062</v>
      </c>
      <c r="D374" s="24" t="str">
        <f t="shared" ref="D374:D381" si="50">RIGHT(I374,3)</f>
        <v>42W</v>
      </c>
      <c r="E374" s="13" t="str">
        <f>VLOOKUP(D:D,工作表2!A:B,2,0)</f>
        <v>敦陽</v>
      </c>
      <c r="F374" s="13" t="str">
        <f>VLOOKUP(D:D,工作表2!A:C,3,0)</f>
        <v>白</v>
      </c>
      <c r="G374" s="17">
        <v>10305462</v>
      </c>
      <c r="H374" s="17" t="s">
        <v>805</v>
      </c>
      <c r="I374" s="18" t="s">
        <v>807</v>
      </c>
      <c r="J374" s="15">
        <v>240</v>
      </c>
      <c r="K374" s="15">
        <v>15</v>
      </c>
      <c r="L374" s="20">
        <f t="shared" ref="L374:L381" si="51">K374/J374</f>
        <v>6.25E-2</v>
      </c>
      <c r="M374" s="12">
        <v>13</v>
      </c>
      <c r="N374" s="12">
        <v>2</v>
      </c>
      <c r="P374" s="32" t="s">
        <v>808</v>
      </c>
      <c r="Q374" s="23"/>
    </row>
    <row r="375" spans="1:22" ht="16.5">
      <c r="A375" s="25">
        <v>46058</v>
      </c>
      <c r="B375" s="29">
        <v>0.56805555555555554</v>
      </c>
      <c r="C375" s="19">
        <v>46062</v>
      </c>
      <c r="D375" s="24" t="str">
        <f t="shared" si="50"/>
        <v>RRA</v>
      </c>
      <c r="E375" s="13" t="str">
        <f>VLOOKUP(D:D,工作表2!A:B,2,0)</f>
        <v>邦善</v>
      </c>
      <c r="F375" s="13" t="str">
        <f>VLOOKUP(D:D,工作表2!A:C,3,0)</f>
        <v>灰</v>
      </c>
      <c r="G375" s="17">
        <v>10313160</v>
      </c>
      <c r="H375" s="17" t="s">
        <v>544</v>
      </c>
      <c r="I375" s="18" t="s">
        <v>555</v>
      </c>
      <c r="J375" s="15">
        <v>798</v>
      </c>
      <c r="K375" s="15">
        <v>84</v>
      </c>
      <c r="L375" s="20">
        <f t="shared" si="51"/>
        <v>0.10526315789473684</v>
      </c>
      <c r="M375" s="12">
        <v>77</v>
      </c>
      <c r="N375" s="12">
        <v>7</v>
      </c>
      <c r="P375" s="32" t="s">
        <v>500</v>
      </c>
      <c r="Q375" s="23"/>
    </row>
    <row r="376" spans="1:22">
      <c r="A376" s="25">
        <v>46059</v>
      </c>
      <c r="B376" s="29">
        <v>0.37847222222222227</v>
      </c>
      <c r="C376" s="19">
        <v>46062</v>
      </c>
      <c r="D376" s="24" t="str">
        <f t="shared" si="50"/>
        <v>QRB</v>
      </c>
      <c r="E376" s="13" t="str">
        <f>VLOOKUP(D:D,工作表2!A:B,2,0)</f>
        <v>邦善</v>
      </c>
      <c r="F376" s="13" t="str">
        <f>VLOOKUP(D:D,工作表2!A:C,3,0)</f>
        <v>霧面黑</v>
      </c>
      <c r="G376" s="17">
        <v>10312398</v>
      </c>
      <c r="H376" s="17" t="s">
        <v>170</v>
      </c>
      <c r="I376" s="18" t="s">
        <v>171</v>
      </c>
      <c r="J376" s="15">
        <v>25802</v>
      </c>
      <c r="K376" s="15">
        <v>801</v>
      </c>
      <c r="L376" s="20">
        <f t="shared" si="51"/>
        <v>3.1044105108131152E-2</v>
      </c>
      <c r="M376" s="12">
        <v>506</v>
      </c>
      <c r="N376" s="12">
        <v>162</v>
      </c>
      <c r="O376" s="15">
        <v>3</v>
      </c>
      <c r="P376" s="32" t="s">
        <v>809</v>
      </c>
      <c r="Q376" s="23"/>
      <c r="V376" s="15">
        <v>130</v>
      </c>
    </row>
    <row r="377" spans="1:22" ht="16.5">
      <c r="A377" s="25">
        <v>46058</v>
      </c>
      <c r="B377" s="29">
        <v>0.55625000000000002</v>
      </c>
      <c r="C377" s="19">
        <v>46062</v>
      </c>
      <c r="D377" s="24" t="str">
        <f t="shared" si="50"/>
        <v>TXA</v>
      </c>
      <c r="E377" s="13" t="str">
        <f>VLOOKUP(D:D,工作表2!A:B,2,0)</f>
        <v>邦善</v>
      </c>
      <c r="F377" s="13" t="str">
        <f>VLOOKUP(D:D,工作表2!A:C,3,0)</f>
        <v>灰</v>
      </c>
      <c r="G377" s="17">
        <v>10312412</v>
      </c>
      <c r="H377" s="17" t="s">
        <v>520</v>
      </c>
      <c r="I377" s="18" t="s">
        <v>532</v>
      </c>
      <c r="J377" s="15">
        <v>1330</v>
      </c>
      <c r="K377" s="15">
        <v>36</v>
      </c>
      <c r="L377" s="20">
        <f t="shared" si="51"/>
        <v>2.7067669172932331E-2</v>
      </c>
      <c r="M377" s="12">
        <v>30</v>
      </c>
      <c r="N377" s="12">
        <v>6</v>
      </c>
      <c r="P377" s="32" t="s">
        <v>500</v>
      </c>
      <c r="Q377" s="23"/>
    </row>
    <row r="378" spans="1:22" ht="16.5">
      <c r="A378" s="25">
        <v>46058</v>
      </c>
      <c r="B378" s="29">
        <v>0.38750000000000001</v>
      </c>
      <c r="C378" s="19">
        <v>46062</v>
      </c>
      <c r="D378" s="24" t="str">
        <f t="shared" si="50"/>
        <v>N8B</v>
      </c>
      <c r="E378" s="13" t="str">
        <f>VLOOKUP(D:D,工作表2!A:B,2,0)</f>
        <v>邦善</v>
      </c>
      <c r="F378" s="13" t="str">
        <f>VLOOKUP(D:D,工作表2!A:C,3,0)</f>
        <v>霧面黑</v>
      </c>
      <c r="G378" s="17">
        <v>10310683</v>
      </c>
      <c r="H378" s="17" t="s">
        <v>5</v>
      </c>
      <c r="I378" s="18" t="s">
        <v>6</v>
      </c>
      <c r="J378" s="15">
        <v>8512</v>
      </c>
      <c r="K378" s="15">
        <v>227</v>
      </c>
      <c r="L378" s="20">
        <f t="shared" si="51"/>
        <v>2.6668233082706768E-2</v>
      </c>
      <c r="M378" s="12">
        <v>206</v>
      </c>
      <c r="N378" s="12">
        <v>21</v>
      </c>
      <c r="P378" s="32" t="s">
        <v>500</v>
      </c>
      <c r="Q378" s="23"/>
    </row>
    <row r="379" spans="1:22" ht="16.5">
      <c r="A379" s="25">
        <v>46059</v>
      </c>
      <c r="B379" s="29">
        <v>0.58611111111111114</v>
      </c>
      <c r="C379" s="19">
        <v>46062</v>
      </c>
      <c r="D379" s="24" t="str">
        <f t="shared" si="50"/>
        <v>NEA</v>
      </c>
      <c r="E379" s="13" t="str">
        <f>VLOOKUP(D:D,工作表2!A:B,2,0)</f>
        <v>邦善</v>
      </c>
      <c r="F379" s="13" t="str">
        <f>VLOOKUP(D:D,工作表2!A:C,3,0)</f>
        <v>灰</v>
      </c>
      <c r="G379" s="17">
        <v>10317750</v>
      </c>
      <c r="H379" s="17" t="s">
        <v>595</v>
      </c>
      <c r="I379" s="18" t="s">
        <v>603</v>
      </c>
      <c r="J379" s="15">
        <v>40</v>
      </c>
      <c r="K379" s="15">
        <v>1</v>
      </c>
      <c r="L379" s="20">
        <f t="shared" si="51"/>
        <v>2.5000000000000001E-2</v>
      </c>
      <c r="M379" s="12">
        <v>1</v>
      </c>
      <c r="P379" s="32" t="s">
        <v>500</v>
      </c>
      <c r="Q379" s="23" t="s">
        <v>962</v>
      </c>
    </row>
    <row r="380" spans="1:22" ht="16.5">
      <c r="A380" s="25">
        <v>46057</v>
      </c>
      <c r="B380" s="29">
        <v>0.57986111111111105</v>
      </c>
      <c r="C380" s="19">
        <v>46062</v>
      </c>
      <c r="D380" s="24" t="str">
        <f t="shared" si="50"/>
        <v>WXL</v>
      </c>
      <c r="E380" s="13" t="str">
        <f>VLOOKUP(D:D,工作表2!A:B,2,0)</f>
        <v>邦善</v>
      </c>
      <c r="F380" s="13" t="str">
        <f>VLOOKUP(D:D,工作表2!A:C,3,0)</f>
        <v>藍</v>
      </c>
      <c r="G380" s="17">
        <v>10310728</v>
      </c>
      <c r="H380" s="17" t="s">
        <v>804</v>
      </c>
      <c r="I380" s="18" t="s">
        <v>806</v>
      </c>
      <c r="J380" s="15">
        <v>280</v>
      </c>
      <c r="K380" s="15">
        <v>22</v>
      </c>
      <c r="L380" s="20">
        <f t="shared" si="51"/>
        <v>7.857142857142857E-2</v>
      </c>
      <c r="M380" s="12">
        <v>15</v>
      </c>
      <c r="N380" s="12">
        <v>7</v>
      </c>
      <c r="P380" s="32" t="s">
        <v>500</v>
      </c>
      <c r="Q380" s="23"/>
    </row>
    <row r="381" spans="1:22" ht="16.5">
      <c r="A381" s="25">
        <v>46057</v>
      </c>
      <c r="B381" s="29">
        <v>0.4777777777777778</v>
      </c>
      <c r="C381" s="19">
        <v>46062</v>
      </c>
      <c r="D381" s="24" t="str">
        <f t="shared" si="50"/>
        <v>N8B</v>
      </c>
      <c r="E381" s="13" t="str">
        <f>VLOOKUP(D:D,工作表2!A:B,2,0)</f>
        <v>邦善</v>
      </c>
      <c r="F381" s="13" t="str">
        <f>VLOOKUP(D:D,工作表2!A:C,3,0)</f>
        <v>霧面黑</v>
      </c>
      <c r="G381" s="17">
        <v>10310695</v>
      </c>
      <c r="H381" s="17" t="s">
        <v>607</v>
      </c>
      <c r="I381" s="18" t="s">
        <v>609</v>
      </c>
      <c r="J381" s="15">
        <v>1876</v>
      </c>
      <c r="K381" s="15">
        <v>125</v>
      </c>
      <c r="L381" s="20">
        <f t="shared" si="51"/>
        <v>6.6631130063965885E-2</v>
      </c>
      <c r="M381" s="12">
        <v>75</v>
      </c>
      <c r="N381" s="12">
        <v>50</v>
      </c>
      <c r="P381" s="32" t="s">
        <v>500</v>
      </c>
      <c r="Q381" s="23" t="s">
        <v>961</v>
      </c>
    </row>
    <row r="382" spans="1:22" ht="16.5">
      <c r="A382" s="25">
        <v>46056</v>
      </c>
      <c r="B382" s="29">
        <v>0.54305555555555551</v>
      </c>
      <c r="C382" s="11">
        <v>46063</v>
      </c>
      <c r="D382" s="24" t="str">
        <f t="shared" ref="D382:D387" si="52">RIGHT(I382,3)</f>
        <v>PLB</v>
      </c>
      <c r="E382" s="13" t="str">
        <f>VLOOKUP(D:D,工作表2!A:B,2,0)</f>
        <v>邦善</v>
      </c>
      <c r="F382" s="13" t="str">
        <f>VLOOKUP(D:D,工作表2!A:C,3,0)</f>
        <v>霧面黑</v>
      </c>
      <c r="G382" s="17">
        <v>10312837</v>
      </c>
      <c r="H382" s="17" t="s">
        <v>408</v>
      </c>
      <c r="I382" s="18" t="s">
        <v>411</v>
      </c>
      <c r="J382" s="15">
        <v>798</v>
      </c>
      <c r="K382" s="15">
        <v>7</v>
      </c>
      <c r="L382" s="20">
        <f t="shared" ref="L382:L387" si="53">K382/J382</f>
        <v>8.771929824561403E-3</v>
      </c>
      <c r="M382" s="12">
        <v>6</v>
      </c>
      <c r="N382" s="12">
        <v>1</v>
      </c>
      <c r="P382" s="32" t="s">
        <v>500</v>
      </c>
      <c r="Q382" s="23"/>
    </row>
    <row r="383" spans="1:22">
      <c r="A383" s="25">
        <v>46062</v>
      </c>
      <c r="B383" s="29">
        <v>0.3888888888888889</v>
      </c>
      <c r="C383" s="11">
        <v>46063</v>
      </c>
      <c r="D383" s="24" t="str">
        <f t="shared" si="52"/>
        <v>QRB</v>
      </c>
      <c r="E383" s="13" t="str">
        <f>VLOOKUP(D:D,工作表2!A:B,2,0)</f>
        <v>邦善</v>
      </c>
      <c r="F383" s="13" t="str">
        <f>VLOOKUP(D:D,工作表2!A:C,3,0)</f>
        <v>霧面黑</v>
      </c>
      <c r="G383" s="17">
        <v>10312399</v>
      </c>
      <c r="H383" s="17" t="s">
        <v>170</v>
      </c>
      <c r="I383" s="18" t="s">
        <v>171</v>
      </c>
      <c r="J383" s="15">
        <v>25802</v>
      </c>
      <c r="K383" s="15">
        <v>791</v>
      </c>
      <c r="L383" s="20">
        <f t="shared" si="53"/>
        <v>3.0656538252848618E-2</v>
      </c>
      <c r="M383" s="12">
        <v>470</v>
      </c>
      <c r="N383" s="12">
        <v>301</v>
      </c>
      <c r="O383" s="15">
        <v>20</v>
      </c>
      <c r="P383" s="32" t="s">
        <v>814</v>
      </c>
      <c r="Q383" s="23"/>
    </row>
    <row r="384" spans="1:22" ht="16.5">
      <c r="A384" s="25">
        <v>46059</v>
      </c>
      <c r="B384" s="29">
        <v>0.5493055555555556</v>
      </c>
      <c r="C384" s="19">
        <v>46063</v>
      </c>
      <c r="D384" s="24" t="str">
        <f t="shared" si="52"/>
        <v>NEA</v>
      </c>
      <c r="E384" s="13" t="str">
        <f>VLOOKUP(D:D,工作表2!A:B,2,0)</f>
        <v>邦善</v>
      </c>
      <c r="F384" s="13" t="str">
        <f>VLOOKUP(D:D,工作表2!A:C,3,0)</f>
        <v>灰</v>
      </c>
      <c r="G384" s="17">
        <v>10310708</v>
      </c>
      <c r="H384" s="17" t="s">
        <v>563</v>
      </c>
      <c r="I384" s="18" t="s">
        <v>571</v>
      </c>
      <c r="J384" s="15">
        <v>1320</v>
      </c>
      <c r="K384" s="15">
        <v>79</v>
      </c>
      <c r="L384" s="20">
        <f t="shared" si="53"/>
        <v>5.9848484848484845E-2</v>
      </c>
      <c r="M384" s="12">
        <v>48</v>
      </c>
      <c r="N384" s="12">
        <v>31</v>
      </c>
      <c r="P384" s="32" t="s">
        <v>500</v>
      </c>
      <c r="Q384" s="23" t="s">
        <v>963</v>
      </c>
    </row>
    <row r="385" spans="1:17" ht="16.5">
      <c r="A385" s="25">
        <v>46057</v>
      </c>
      <c r="C385" s="19">
        <v>46063</v>
      </c>
      <c r="D385" s="24" t="str">
        <f t="shared" si="52"/>
        <v>N8B</v>
      </c>
      <c r="E385" s="13" t="str">
        <f>VLOOKUP(D:D,工作表2!A:B,2,0)</f>
        <v>邦善</v>
      </c>
      <c r="F385" s="13" t="str">
        <f>VLOOKUP(D:D,工作表2!A:C,3,0)</f>
        <v>霧面黑</v>
      </c>
      <c r="G385" s="17">
        <v>10311414</v>
      </c>
      <c r="H385" s="17" t="s">
        <v>613</v>
      </c>
      <c r="I385" s="18" t="s">
        <v>620</v>
      </c>
      <c r="J385" s="15">
        <v>1072</v>
      </c>
      <c r="K385" s="15">
        <v>88</v>
      </c>
      <c r="L385" s="20">
        <f t="shared" si="53"/>
        <v>8.2089552238805971E-2</v>
      </c>
      <c r="M385" s="12">
        <v>60</v>
      </c>
      <c r="N385" s="12">
        <v>28</v>
      </c>
      <c r="P385" s="32" t="s">
        <v>500</v>
      </c>
      <c r="Q385" s="23" t="s">
        <v>961</v>
      </c>
    </row>
    <row r="386" spans="1:17" ht="16.5">
      <c r="A386" s="25">
        <v>46057</v>
      </c>
      <c r="B386" s="29">
        <v>0.60555555555555551</v>
      </c>
      <c r="C386" s="19">
        <v>46063</v>
      </c>
      <c r="D386" s="24" t="str">
        <f t="shared" si="52"/>
        <v>CKA</v>
      </c>
      <c r="E386" s="13" t="str">
        <f>VLOOKUP(D:D,工作表2!A:B,2,0)</f>
        <v>建榮</v>
      </c>
      <c r="F386" s="13" t="str">
        <f>VLOOKUP(D:D,工作表2!A:C,3,0)</f>
        <v>灰</v>
      </c>
      <c r="G386" s="17">
        <v>10312043</v>
      </c>
      <c r="H386" s="17" t="s">
        <v>810</v>
      </c>
      <c r="I386" s="18" t="s">
        <v>812</v>
      </c>
      <c r="J386" s="15">
        <v>40</v>
      </c>
      <c r="K386" s="15">
        <v>4</v>
      </c>
      <c r="L386" s="20">
        <f t="shared" si="53"/>
        <v>0.1</v>
      </c>
      <c r="M386" s="12">
        <v>4</v>
      </c>
      <c r="P386" s="32" t="s">
        <v>500</v>
      </c>
      <c r="Q386" s="23"/>
    </row>
    <row r="387" spans="1:17" ht="16.5">
      <c r="A387" s="25">
        <v>46056</v>
      </c>
      <c r="B387" s="29">
        <v>0.62916666666666665</v>
      </c>
      <c r="C387" s="19">
        <v>46063</v>
      </c>
      <c r="D387" s="24" t="str">
        <f t="shared" si="52"/>
        <v>42W</v>
      </c>
      <c r="E387" s="13" t="str">
        <f>VLOOKUP(D:D,工作表2!A:B,2,0)</f>
        <v>敦陽</v>
      </c>
      <c r="F387" s="13" t="str">
        <f>VLOOKUP(D:D,工作表2!A:C,3,0)</f>
        <v>白</v>
      </c>
      <c r="G387" s="17">
        <v>10312042</v>
      </c>
      <c r="H387" s="17" t="s">
        <v>811</v>
      </c>
      <c r="I387" s="18" t="s">
        <v>813</v>
      </c>
      <c r="J387" s="15">
        <v>80</v>
      </c>
      <c r="K387" s="15">
        <v>15</v>
      </c>
      <c r="L387" s="20">
        <f t="shared" si="53"/>
        <v>0.1875</v>
      </c>
      <c r="M387" s="12">
        <v>10</v>
      </c>
      <c r="N387" s="12">
        <v>5</v>
      </c>
      <c r="P387" s="32" t="s">
        <v>500</v>
      </c>
      <c r="Q387" s="23"/>
    </row>
    <row r="388" spans="1:17" ht="16.5">
      <c r="A388" s="25">
        <v>46057</v>
      </c>
      <c r="B388" s="29">
        <v>0.62291666666666667</v>
      </c>
      <c r="C388" s="11">
        <v>46064</v>
      </c>
      <c r="D388" s="24" t="str">
        <f t="shared" ref="D388:D405" si="54">RIGHT(I388,3)</f>
        <v>HJA</v>
      </c>
      <c r="E388" s="13" t="str">
        <f>VLOOKUP(D:D,工作表2!A:B,2,0)</f>
        <v>邦善</v>
      </c>
      <c r="F388" s="13" t="str">
        <f>VLOOKUP(D:D,工作表2!A:C,3,0)</f>
        <v>灰</v>
      </c>
      <c r="G388" s="17">
        <v>10315444</v>
      </c>
      <c r="H388" s="17" t="s">
        <v>818</v>
      </c>
      <c r="I388" s="18" t="s">
        <v>827</v>
      </c>
      <c r="J388" s="15">
        <v>30</v>
      </c>
      <c r="K388" s="15">
        <v>2</v>
      </c>
      <c r="L388" s="20">
        <f t="shared" ref="L388:L405" si="55">K388/J388</f>
        <v>6.6666666666666666E-2</v>
      </c>
      <c r="M388" s="12">
        <v>2</v>
      </c>
      <c r="P388" s="32" t="s">
        <v>500</v>
      </c>
      <c r="Q388" s="23"/>
    </row>
    <row r="389" spans="1:17" ht="16.5">
      <c r="A389" s="25">
        <v>46057</v>
      </c>
      <c r="B389" s="29">
        <v>0.62222222222222223</v>
      </c>
      <c r="C389" s="11">
        <v>46064</v>
      </c>
      <c r="D389" s="24" t="str">
        <f t="shared" si="54"/>
        <v>HLL</v>
      </c>
      <c r="E389" s="13" t="str">
        <f>VLOOKUP(D:D,工作表2!A:B,2,0)</f>
        <v>邦善</v>
      </c>
      <c r="F389" s="13" t="str">
        <f>VLOOKUP(D:D,工作表2!A:C,3,0)</f>
        <v>藍</v>
      </c>
      <c r="G389" s="17">
        <v>10315446</v>
      </c>
      <c r="H389" s="17" t="s">
        <v>819</v>
      </c>
      <c r="I389" s="18" t="s">
        <v>828</v>
      </c>
      <c r="J389" s="15">
        <v>30</v>
      </c>
      <c r="K389" s="15">
        <v>6</v>
      </c>
      <c r="L389" s="20">
        <f t="shared" si="55"/>
        <v>0.2</v>
      </c>
      <c r="M389" s="12">
        <v>4</v>
      </c>
      <c r="N389" s="12">
        <v>2</v>
      </c>
      <c r="P389" s="32" t="s">
        <v>500</v>
      </c>
      <c r="Q389" s="23"/>
    </row>
    <row r="390" spans="1:17" ht="16.5">
      <c r="A390" s="25">
        <v>46057</v>
      </c>
      <c r="B390" s="29">
        <v>0.62569444444444444</v>
      </c>
      <c r="C390" s="19">
        <v>46064</v>
      </c>
      <c r="D390" s="24" t="str">
        <f t="shared" si="54"/>
        <v>JCB</v>
      </c>
      <c r="E390" s="13" t="str">
        <f>VLOOKUP(D:D,工作表2!A:B,2,0)</f>
        <v>邦善</v>
      </c>
      <c r="F390" s="13" t="str">
        <f>VLOOKUP(D:D,工作表2!A:C,3,0)</f>
        <v>黑</v>
      </c>
      <c r="G390" s="17">
        <v>10315436</v>
      </c>
      <c r="H390" s="17" t="s">
        <v>821</v>
      </c>
      <c r="I390" s="18" t="s">
        <v>830</v>
      </c>
      <c r="J390" s="15">
        <v>80</v>
      </c>
      <c r="K390" s="15">
        <v>14</v>
      </c>
      <c r="L390" s="20">
        <f t="shared" si="55"/>
        <v>0.17499999999999999</v>
      </c>
      <c r="M390" s="12">
        <v>9</v>
      </c>
      <c r="N390" s="12">
        <v>5</v>
      </c>
      <c r="P390" s="32" t="s">
        <v>500</v>
      </c>
      <c r="Q390" s="23"/>
    </row>
    <row r="391" spans="1:17" ht="16.5">
      <c r="A391" s="25">
        <v>46057</v>
      </c>
      <c r="B391" s="29">
        <v>0.62361111111111112</v>
      </c>
      <c r="C391" s="19">
        <v>46064</v>
      </c>
      <c r="D391" s="24" t="str">
        <f t="shared" si="54"/>
        <v>L9G</v>
      </c>
      <c r="E391" s="13" t="str">
        <f>VLOOKUP(D:D,工作表2!A:B,2,0)</f>
        <v>邦善</v>
      </c>
      <c r="F391" s="13" t="str">
        <f>VLOOKUP(D:D,工作表2!A:C,3,0)</f>
        <v>綠</v>
      </c>
      <c r="G391" s="17">
        <v>10315437</v>
      </c>
      <c r="H391" s="17" t="s">
        <v>820</v>
      </c>
      <c r="I391" s="18" t="s">
        <v>829</v>
      </c>
      <c r="J391" s="15">
        <v>80</v>
      </c>
      <c r="K391" s="15">
        <v>14</v>
      </c>
      <c r="L391" s="20">
        <f t="shared" si="55"/>
        <v>0.17499999999999999</v>
      </c>
      <c r="M391" s="12">
        <v>9</v>
      </c>
      <c r="N391" s="12">
        <v>5</v>
      </c>
      <c r="P391" s="32" t="s">
        <v>500</v>
      </c>
      <c r="Q391" s="23"/>
    </row>
    <row r="392" spans="1:17" ht="16.5">
      <c r="A392" s="25">
        <v>46057</v>
      </c>
      <c r="B392" s="29">
        <v>0.62638888888888888</v>
      </c>
      <c r="C392" s="19">
        <v>46064</v>
      </c>
      <c r="D392" s="24" t="str">
        <f t="shared" si="54"/>
        <v>LYB</v>
      </c>
      <c r="E392" s="13" t="str">
        <f>VLOOKUP(D:D,工作表2!A:B,2,0)</f>
        <v>邦善</v>
      </c>
      <c r="F392" s="13" t="str">
        <f>VLOOKUP(D:D,工作表2!A:C,3,0)</f>
        <v>霧面黑</v>
      </c>
      <c r="G392" s="17">
        <v>10315438</v>
      </c>
      <c r="H392" s="17" t="s">
        <v>817</v>
      </c>
      <c r="I392" s="18" t="s">
        <v>826</v>
      </c>
      <c r="J392" s="15">
        <v>80</v>
      </c>
      <c r="K392" s="15">
        <v>16</v>
      </c>
      <c r="L392" s="20">
        <f t="shared" si="55"/>
        <v>0.2</v>
      </c>
      <c r="M392" s="12">
        <v>15</v>
      </c>
      <c r="N392" s="12">
        <v>1</v>
      </c>
      <c r="P392" s="32" t="s">
        <v>500</v>
      </c>
      <c r="Q392" s="23"/>
    </row>
    <row r="393" spans="1:17" ht="16.5">
      <c r="A393" s="25">
        <v>46057</v>
      </c>
      <c r="B393" s="29">
        <v>0.62361111111111112</v>
      </c>
      <c r="C393" s="19">
        <v>46064</v>
      </c>
      <c r="D393" s="24" t="str">
        <f t="shared" si="54"/>
        <v>M2W</v>
      </c>
      <c r="E393" s="13" t="str">
        <f>VLOOKUP(D:D,工作表2!A:B,2,0)</f>
        <v>邦善</v>
      </c>
      <c r="F393" s="13" t="str">
        <f>VLOOKUP(D:D,工作表2!A:C,3,0)</f>
        <v>白</v>
      </c>
      <c r="G393" s="17">
        <v>10315445</v>
      </c>
      <c r="H393" s="17" t="s">
        <v>651</v>
      </c>
      <c r="I393" s="18" t="s">
        <v>661</v>
      </c>
      <c r="J393" s="15">
        <v>240</v>
      </c>
      <c r="K393" s="15">
        <v>53</v>
      </c>
      <c r="L393" s="20">
        <f t="shared" si="55"/>
        <v>0.22083333333333333</v>
      </c>
      <c r="M393" s="12">
        <v>49</v>
      </c>
      <c r="N393" s="12">
        <v>4</v>
      </c>
      <c r="P393" s="32" t="s">
        <v>500</v>
      </c>
      <c r="Q393" s="23"/>
    </row>
    <row r="394" spans="1:17" ht="16.5">
      <c r="A394" s="25">
        <v>46057</v>
      </c>
      <c r="B394" s="29">
        <v>0.62083333333333335</v>
      </c>
      <c r="C394" s="19">
        <v>46064</v>
      </c>
      <c r="D394" s="24" t="str">
        <f t="shared" si="54"/>
        <v>YHY</v>
      </c>
      <c r="E394" s="13" t="str">
        <f>VLOOKUP(D:D,工作表2!A:B,2,0)</f>
        <v>邦善</v>
      </c>
      <c r="F394" s="13" t="str">
        <f>VLOOKUP(D:D,工作表2!A:C,3,0)</f>
        <v>黃</v>
      </c>
      <c r="G394" s="17">
        <v>10315443</v>
      </c>
      <c r="H394" s="17" t="s">
        <v>822</v>
      </c>
      <c r="I394" s="18" t="s">
        <v>831</v>
      </c>
      <c r="J394" s="15">
        <v>30</v>
      </c>
      <c r="K394" s="15">
        <v>2</v>
      </c>
      <c r="L394" s="20">
        <f t="shared" si="55"/>
        <v>6.6666666666666666E-2</v>
      </c>
      <c r="M394" s="12">
        <v>2</v>
      </c>
      <c r="P394" s="32" t="s">
        <v>500</v>
      </c>
      <c r="Q394" s="23"/>
    </row>
    <row r="395" spans="1:17" ht="16.5">
      <c r="A395" s="25">
        <v>46063</v>
      </c>
      <c r="B395" s="29">
        <v>0.38194444444444442</v>
      </c>
      <c r="C395" s="19">
        <v>46064</v>
      </c>
      <c r="D395" s="24" t="str">
        <f t="shared" si="54"/>
        <v>QRB</v>
      </c>
      <c r="E395" s="13" t="str">
        <f>VLOOKUP(D:D,工作表2!A:B,2,0)</f>
        <v>邦善</v>
      </c>
      <c r="F395" s="13" t="str">
        <f>VLOOKUP(D:D,工作表2!A:C,3,0)</f>
        <v>霧面黑</v>
      </c>
      <c r="G395" s="17">
        <v>10312400</v>
      </c>
      <c r="H395" s="17" t="s">
        <v>170</v>
      </c>
      <c r="I395" s="18" t="s">
        <v>171</v>
      </c>
      <c r="J395" s="15">
        <v>25802</v>
      </c>
      <c r="K395" s="15">
        <v>576</v>
      </c>
      <c r="L395" s="20">
        <f t="shared" si="55"/>
        <v>2.2323850864274086E-2</v>
      </c>
      <c r="M395" s="12">
        <v>500</v>
      </c>
      <c r="N395" s="12">
        <v>50</v>
      </c>
      <c r="O395" s="15">
        <v>26</v>
      </c>
      <c r="P395" s="32" t="s">
        <v>500</v>
      </c>
      <c r="Q395" s="23"/>
    </row>
    <row r="396" spans="1:17" ht="16.5">
      <c r="A396" s="25">
        <v>46062</v>
      </c>
      <c r="B396" s="29">
        <v>0.52569444444444446</v>
      </c>
      <c r="C396" s="19">
        <v>46064</v>
      </c>
      <c r="D396" s="24" t="str">
        <f t="shared" si="54"/>
        <v>NBB</v>
      </c>
      <c r="E396" s="13" t="str">
        <f>VLOOKUP(D:D,工作表2!A:B,2,0)</f>
        <v>邦善</v>
      </c>
      <c r="F396" s="13" t="str">
        <f>VLOOKUP(D:D,工作表2!A:C,3,0)</f>
        <v>霧面黑</v>
      </c>
      <c r="G396" s="17">
        <v>10310691</v>
      </c>
      <c r="H396" s="17" t="s">
        <v>306</v>
      </c>
      <c r="I396" s="18" t="s">
        <v>307</v>
      </c>
      <c r="J396" s="15">
        <v>3458</v>
      </c>
      <c r="K396" s="15">
        <v>47</v>
      </c>
      <c r="L396" s="20">
        <f t="shared" si="55"/>
        <v>1.3591671486408328E-2</v>
      </c>
      <c r="M396" s="12">
        <v>45</v>
      </c>
      <c r="N396" s="12">
        <v>2</v>
      </c>
      <c r="P396" s="32" t="s">
        <v>500</v>
      </c>
      <c r="Q396" s="23"/>
    </row>
    <row r="397" spans="1:17" ht="16.5">
      <c r="A397" s="25">
        <v>46058</v>
      </c>
      <c r="B397" s="29">
        <v>0.57291666666666663</v>
      </c>
      <c r="C397" s="19">
        <v>46064</v>
      </c>
      <c r="D397" s="24" t="str">
        <f t="shared" si="54"/>
        <v>NCB</v>
      </c>
      <c r="E397" s="13" t="str">
        <f>VLOOKUP(D:D,工作表2!A:B,2,0)</f>
        <v>邦善</v>
      </c>
      <c r="F397" s="13" t="str">
        <f>VLOOKUP(D:D,工作表2!A:C,3,0)</f>
        <v>黑</v>
      </c>
      <c r="G397" s="17">
        <v>10310681</v>
      </c>
      <c r="H397" s="17" t="s">
        <v>751</v>
      </c>
      <c r="I397" s="18" t="s">
        <v>754</v>
      </c>
      <c r="J397" s="15">
        <v>1330</v>
      </c>
      <c r="K397" s="15">
        <v>101</v>
      </c>
      <c r="L397" s="20">
        <f t="shared" si="55"/>
        <v>7.5939849624060154E-2</v>
      </c>
      <c r="M397" s="12">
        <v>70</v>
      </c>
      <c r="N397" s="12">
        <v>31</v>
      </c>
      <c r="P397" s="32" t="s">
        <v>500</v>
      </c>
      <c r="Q397" s="23"/>
    </row>
    <row r="398" spans="1:17" ht="16.5">
      <c r="A398" s="25">
        <v>46059</v>
      </c>
      <c r="B398" s="29">
        <v>0.58819444444444446</v>
      </c>
      <c r="C398" s="19">
        <v>46064</v>
      </c>
      <c r="D398" s="24" t="str">
        <f t="shared" si="54"/>
        <v>NEA</v>
      </c>
      <c r="E398" s="13" t="str">
        <f>VLOOKUP(D:D,工作表2!A:B,2,0)</f>
        <v>邦善</v>
      </c>
      <c r="F398" s="13" t="str">
        <f>VLOOKUP(D:D,工作表2!A:C,3,0)</f>
        <v>灰</v>
      </c>
      <c r="G398" s="17">
        <v>10310679</v>
      </c>
      <c r="H398" s="17" t="s">
        <v>396</v>
      </c>
      <c r="I398" s="18" t="s">
        <v>398</v>
      </c>
      <c r="J398" s="15">
        <v>1064</v>
      </c>
      <c r="K398" s="15">
        <v>61</v>
      </c>
      <c r="L398" s="20">
        <f t="shared" si="55"/>
        <v>5.733082706766917E-2</v>
      </c>
      <c r="M398" s="12">
        <v>55</v>
      </c>
      <c r="N398" s="12">
        <v>6</v>
      </c>
      <c r="P398" s="32" t="s">
        <v>500</v>
      </c>
      <c r="Q398" s="23"/>
    </row>
    <row r="399" spans="1:17" ht="16.5">
      <c r="A399" s="25">
        <v>46058</v>
      </c>
      <c r="B399" s="29">
        <v>0.63611111111111118</v>
      </c>
      <c r="C399" s="19">
        <v>46064</v>
      </c>
      <c r="D399" s="24" t="str">
        <f t="shared" si="54"/>
        <v>NGW</v>
      </c>
      <c r="E399" s="13" t="str">
        <f>VLOOKUP(D:D,工作表2!A:B,2,0)</f>
        <v>邦善</v>
      </c>
      <c r="F399" s="13" t="str">
        <f>VLOOKUP(D:D,工作表2!A:C,3,0)</f>
        <v>白</v>
      </c>
      <c r="G399" s="17">
        <v>10310678</v>
      </c>
      <c r="H399" s="17" t="s">
        <v>543</v>
      </c>
      <c r="I399" s="18" t="s">
        <v>554</v>
      </c>
      <c r="J399" s="15">
        <v>2394</v>
      </c>
      <c r="K399" s="15">
        <v>141</v>
      </c>
      <c r="L399" s="20">
        <f t="shared" si="55"/>
        <v>5.889724310776942E-2</v>
      </c>
      <c r="M399" s="12">
        <v>100</v>
      </c>
      <c r="N399" s="12">
        <v>41</v>
      </c>
      <c r="P399" s="32" t="s">
        <v>500</v>
      </c>
      <c r="Q399" s="23"/>
    </row>
    <row r="400" spans="1:17" ht="16.5">
      <c r="A400" s="25">
        <v>46058</v>
      </c>
      <c r="B400" s="29">
        <v>0.58680555555555558</v>
      </c>
      <c r="C400" s="19">
        <v>46064</v>
      </c>
      <c r="D400" s="24" t="str">
        <f t="shared" si="54"/>
        <v>QHR</v>
      </c>
      <c r="E400" s="13" t="str">
        <f>VLOOKUP(D:D,工作表2!A:B,2,0)</f>
        <v>邦善</v>
      </c>
      <c r="F400" s="13" t="str">
        <f>VLOOKUP(D:D,工作表2!A:C,3,0)</f>
        <v>紅</v>
      </c>
      <c r="G400" s="17">
        <v>10310684</v>
      </c>
      <c r="H400" s="17" t="s">
        <v>823</v>
      </c>
      <c r="I400" s="18" t="s">
        <v>832</v>
      </c>
      <c r="J400" s="15">
        <v>532</v>
      </c>
      <c r="K400" s="15">
        <v>51</v>
      </c>
      <c r="L400" s="20">
        <f t="shared" si="55"/>
        <v>9.5864661654135333E-2</v>
      </c>
      <c r="M400" s="12">
        <v>40</v>
      </c>
      <c r="N400" s="12">
        <v>11</v>
      </c>
      <c r="P400" s="32" t="s">
        <v>500</v>
      </c>
      <c r="Q400" s="23"/>
    </row>
    <row r="401" spans="1:17" ht="16.5">
      <c r="A401" s="25">
        <v>46058</v>
      </c>
      <c r="B401" s="29">
        <v>0.59791666666666665</v>
      </c>
      <c r="C401" s="19">
        <v>46064</v>
      </c>
      <c r="D401" s="24" t="str">
        <f t="shared" si="54"/>
        <v>NGW</v>
      </c>
      <c r="E401" s="13" t="str">
        <f>VLOOKUP(D:D,工作表2!A:B,2,0)</f>
        <v>邦善</v>
      </c>
      <c r="F401" s="13" t="str">
        <f>VLOOKUP(D:D,工作表2!A:C,3,0)</f>
        <v>白</v>
      </c>
      <c r="G401" s="17">
        <v>10310720</v>
      </c>
      <c r="H401" s="17" t="s">
        <v>579</v>
      </c>
      <c r="I401" s="18" t="s">
        <v>581</v>
      </c>
      <c r="J401" s="15">
        <v>410</v>
      </c>
      <c r="K401" s="15">
        <v>18</v>
      </c>
      <c r="L401" s="20">
        <f t="shared" si="55"/>
        <v>4.3902439024390241E-2</v>
      </c>
      <c r="M401" s="12">
        <v>12</v>
      </c>
      <c r="N401" s="12">
        <v>6</v>
      </c>
      <c r="P401" s="32" t="s">
        <v>500</v>
      </c>
      <c r="Q401" s="23"/>
    </row>
    <row r="402" spans="1:17" ht="16.5">
      <c r="A402" s="25">
        <v>46062</v>
      </c>
      <c r="B402" s="29">
        <v>0.5444444444444444</v>
      </c>
      <c r="C402" s="19">
        <v>46064</v>
      </c>
      <c r="D402" s="24" t="str">
        <f t="shared" si="54"/>
        <v>Q9B</v>
      </c>
      <c r="E402" s="13" t="str">
        <f>VLOOKUP(D:D,工作表2!A:B,2,0)</f>
        <v>邦善</v>
      </c>
      <c r="F402" s="13" t="str">
        <f>VLOOKUP(D:D,工作表2!A:C,3,0)</f>
        <v>黑</v>
      </c>
      <c r="G402" s="17">
        <v>10310734</v>
      </c>
      <c r="H402" s="17" t="s">
        <v>730</v>
      </c>
      <c r="I402" s="18" t="s">
        <v>737</v>
      </c>
      <c r="J402" s="15">
        <v>840</v>
      </c>
      <c r="K402" s="15">
        <v>42</v>
      </c>
      <c r="L402" s="20">
        <f t="shared" si="55"/>
        <v>0.05</v>
      </c>
      <c r="M402" s="12">
        <v>30</v>
      </c>
      <c r="N402" s="12">
        <v>12</v>
      </c>
      <c r="P402" s="32" t="s">
        <v>500</v>
      </c>
      <c r="Q402" s="23" t="s">
        <v>963</v>
      </c>
    </row>
    <row r="403" spans="1:17" ht="16.5">
      <c r="A403" s="25">
        <v>46059</v>
      </c>
      <c r="B403" s="29">
        <v>0.52569444444444446</v>
      </c>
      <c r="C403" s="19">
        <v>46064</v>
      </c>
      <c r="D403" s="24" t="str">
        <f t="shared" si="54"/>
        <v>Q9B</v>
      </c>
      <c r="E403" s="13" t="str">
        <f>VLOOKUP(D:D,工作表2!A:B,2,0)</f>
        <v>邦善</v>
      </c>
      <c r="F403" s="13" t="str">
        <f>VLOOKUP(D:D,工作表2!A:C,3,0)</f>
        <v>黑</v>
      </c>
      <c r="G403" s="17">
        <v>10310732</v>
      </c>
      <c r="H403" s="17" t="s">
        <v>631</v>
      </c>
      <c r="I403" s="18" t="s">
        <v>637</v>
      </c>
      <c r="J403" s="15">
        <v>744</v>
      </c>
      <c r="K403" s="15">
        <v>78</v>
      </c>
      <c r="L403" s="20">
        <f t="shared" si="55"/>
        <v>0.10483870967741936</v>
      </c>
      <c r="M403" s="12">
        <v>48</v>
      </c>
      <c r="N403" s="12">
        <v>30</v>
      </c>
      <c r="P403" s="32" t="s">
        <v>500</v>
      </c>
      <c r="Q403" s="23" t="s">
        <v>962</v>
      </c>
    </row>
    <row r="404" spans="1:17" ht="16.5">
      <c r="A404" s="25">
        <v>46059</v>
      </c>
      <c r="B404" s="29">
        <v>0.47291666666666665</v>
      </c>
      <c r="C404" s="19">
        <v>46064</v>
      </c>
      <c r="D404" s="24" t="str">
        <f t="shared" si="54"/>
        <v>Q9B</v>
      </c>
      <c r="E404" s="13" t="str">
        <f>VLOOKUP(D:D,工作表2!A:B,2,0)</f>
        <v>邦善</v>
      </c>
      <c r="F404" s="13" t="str">
        <f>VLOOKUP(D:D,工作表2!A:C,3,0)</f>
        <v>黑</v>
      </c>
      <c r="G404" s="17">
        <v>10310737</v>
      </c>
      <c r="H404" s="17" t="s">
        <v>816</v>
      </c>
      <c r="I404" s="18" t="s">
        <v>825</v>
      </c>
      <c r="J404" s="15">
        <v>880</v>
      </c>
      <c r="K404" s="15">
        <v>84</v>
      </c>
      <c r="L404" s="20">
        <f t="shared" si="55"/>
        <v>9.5454545454545459E-2</v>
      </c>
      <c r="M404" s="12">
        <v>47</v>
      </c>
      <c r="N404" s="12">
        <v>37</v>
      </c>
      <c r="P404" s="32" t="s">
        <v>500</v>
      </c>
      <c r="Q404" s="23" t="s">
        <v>963</v>
      </c>
    </row>
    <row r="405" spans="1:17" ht="16.5">
      <c r="A405" s="25">
        <v>46063</v>
      </c>
      <c r="B405" s="29">
        <v>0.47152777777777777</v>
      </c>
      <c r="C405" s="19">
        <v>46064</v>
      </c>
      <c r="D405" s="24" t="str">
        <f t="shared" si="54"/>
        <v>QFA</v>
      </c>
      <c r="E405" s="13" t="str">
        <f>VLOOKUP(D:D,工作表2!A:B,2,0)</f>
        <v>邦善</v>
      </c>
      <c r="F405" s="13" t="str">
        <f>VLOOKUP(D:D,工作表2!A:C,3,0)</f>
        <v>灰</v>
      </c>
      <c r="G405" s="17">
        <v>10310738</v>
      </c>
      <c r="H405" s="17" t="s">
        <v>815</v>
      </c>
      <c r="I405" s="18" t="s">
        <v>824</v>
      </c>
      <c r="J405" s="15">
        <v>240</v>
      </c>
      <c r="K405" s="15">
        <v>12</v>
      </c>
      <c r="L405" s="20">
        <f t="shared" si="55"/>
        <v>0.05</v>
      </c>
      <c r="M405" s="12">
        <v>7</v>
      </c>
      <c r="N405" s="12">
        <v>5</v>
      </c>
      <c r="P405" s="32" t="s">
        <v>500</v>
      </c>
      <c r="Q405" s="23" t="s">
        <v>963</v>
      </c>
    </row>
    <row r="406" spans="1:17" ht="16.5">
      <c r="A406" s="25">
        <v>46064</v>
      </c>
      <c r="B406" s="29">
        <v>0.67708333333333337</v>
      </c>
      <c r="C406" s="11">
        <v>46065</v>
      </c>
      <c r="D406" s="24" t="str">
        <f t="shared" ref="D406:D412" si="56">RIGHT(I406,3)</f>
        <v>LWB</v>
      </c>
      <c r="E406" s="13" t="str">
        <f>VLOOKUP(D:D,工作表2!A:B,2,0)</f>
        <v>建榮</v>
      </c>
      <c r="F406" s="13" t="str">
        <f>VLOOKUP(D:D,工作表2!A:C,3,0)</f>
        <v>霧面黑</v>
      </c>
      <c r="G406" s="17">
        <v>10317920</v>
      </c>
      <c r="H406" s="17" t="s">
        <v>766</v>
      </c>
      <c r="I406" s="18" t="s">
        <v>769</v>
      </c>
      <c r="J406" s="15">
        <v>30</v>
      </c>
      <c r="K406" s="15">
        <v>1</v>
      </c>
      <c r="L406" s="20">
        <f t="shared" ref="L406:L412" si="57">K406/J406</f>
        <v>3.3333333333333333E-2</v>
      </c>
      <c r="M406" s="12">
        <v>1</v>
      </c>
      <c r="P406" s="32" t="s">
        <v>500</v>
      </c>
      <c r="Q406" s="23"/>
    </row>
    <row r="407" spans="1:17" ht="16.5">
      <c r="A407" s="25">
        <v>46062</v>
      </c>
      <c r="B407" s="29">
        <v>0.54166666666666663</v>
      </c>
      <c r="C407" s="11">
        <v>46065</v>
      </c>
      <c r="D407" s="24" t="str">
        <f t="shared" si="56"/>
        <v>NBB</v>
      </c>
      <c r="E407" s="13" t="str">
        <f>VLOOKUP(D:D,工作表2!A:B,2,0)</f>
        <v>邦善</v>
      </c>
      <c r="F407" s="13" t="str">
        <f>VLOOKUP(D:D,工作表2!A:C,3,0)</f>
        <v>霧面黑</v>
      </c>
      <c r="G407" s="17">
        <v>10313158</v>
      </c>
      <c r="H407" s="17" t="s">
        <v>369</v>
      </c>
      <c r="I407" s="18" t="s">
        <v>371</v>
      </c>
      <c r="J407" s="15">
        <v>798</v>
      </c>
      <c r="K407" s="15">
        <v>56</v>
      </c>
      <c r="L407" s="20">
        <f t="shared" si="57"/>
        <v>7.0175438596491224E-2</v>
      </c>
      <c r="M407" s="12">
        <v>52</v>
      </c>
      <c r="N407" s="12">
        <v>4</v>
      </c>
      <c r="P407" s="32" t="s">
        <v>500</v>
      </c>
      <c r="Q407" s="23"/>
    </row>
    <row r="408" spans="1:17" ht="16.5">
      <c r="A408" s="25">
        <v>46064</v>
      </c>
      <c r="B408" s="29">
        <v>0.37916666666666665</v>
      </c>
      <c r="C408" s="11">
        <v>46065</v>
      </c>
      <c r="D408" s="24" t="str">
        <f t="shared" si="56"/>
        <v>QRB</v>
      </c>
      <c r="E408" s="13" t="str">
        <f>VLOOKUP(D:D,工作表2!A:B,2,0)</f>
        <v>邦善</v>
      </c>
      <c r="F408" s="13" t="str">
        <f>VLOOKUP(D:D,工作表2!A:C,3,0)</f>
        <v>霧面黑</v>
      </c>
      <c r="G408" s="17">
        <v>10312401</v>
      </c>
      <c r="H408" s="17" t="s">
        <v>170</v>
      </c>
      <c r="I408" s="18" t="s">
        <v>171</v>
      </c>
      <c r="J408" s="15">
        <v>25802</v>
      </c>
      <c r="K408" s="15">
        <v>618</v>
      </c>
      <c r="L408" s="20">
        <f t="shared" si="57"/>
        <v>2.3951631656460741E-2</v>
      </c>
      <c r="M408" s="12">
        <v>350</v>
      </c>
      <c r="N408" s="12">
        <v>250</v>
      </c>
      <c r="O408" s="15">
        <v>18</v>
      </c>
      <c r="P408" s="32" t="s">
        <v>500</v>
      </c>
      <c r="Q408" s="23"/>
    </row>
    <row r="409" spans="1:17" ht="16.5">
      <c r="A409" s="25">
        <v>46063</v>
      </c>
      <c r="B409" s="29">
        <v>0.57152777777777775</v>
      </c>
      <c r="C409" s="11">
        <v>46066</v>
      </c>
      <c r="D409" s="24" t="str">
        <f t="shared" si="56"/>
        <v>NGW</v>
      </c>
      <c r="E409" s="13" t="str">
        <f>VLOOKUP(D:D,工作表2!A:B,2,0)</f>
        <v>邦善</v>
      </c>
      <c r="F409" s="13" t="str">
        <f>VLOOKUP(D:D,工作表2!A:C,3,0)</f>
        <v>白</v>
      </c>
      <c r="G409" s="17">
        <v>10310723</v>
      </c>
      <c r="H409" s="17" t="s">
        <v>372</v>
      </c>
      <c r="I409" s="18" t="s">
        <v>373</v>
      </c>
      <c r="J409" s="15">
        <v>1080</v>
      </c>
      <c r="K409" s="15">
        <v>79</v>
      </c>
      <c r="L409" s="20">
        <f t="shared" si="57"/>
        <v>7.3148148148148143E-2</v>
      </c>
      <c r="M409" s="12">
        <v>60</v>
      </c>
      <c r="N409" s="12">
        <v>19</v>
      </c>
      <c r="P409" s="32" t="s">
        <v>500</v>
      </c>
      <c r="Q409" s="23"/>
    </row>
    <row r="410" spans="1:17" ht="16.5">
      <c r="A410" s="25">
        <v>46058</v>
      </c>
      <c r="B410" s="29">
        <v>0.61319444444444449</v>
      </c>
      <c r="C410" s="11">
        <v>46066</v>
      </c>
      <c r="D410" s="24" t="str">
        <f t="shared" si="56"/>
        <v>NGW</v>
      </c>
      <c r="E410" s="13" t="str">
        <f>VLOOKUP(D:D,工作表2!A:B,2,0)</f>
        <v>邦善</v>
      </c>
      <c r="F410" s="13" t="str">
        <f>VLOOKUP(D:D,工作表2!A:C,3,0)</f>
        <v>白</v>
      </c>
      <c r="G410" s="17">
        <v>10310716</v>
      </c>
      <c r="H410" s="17" t="s">
        <v>382</v>
      </c>
      <c r="I410" s="18" t="s">
        <v>387</v>
      </c>
      <c r="J410" s="15">
        <v>560</v>
      </c>
      <c r="K410" s="15">
        <v>34</v>
      </c>
      <c r="L410" s="20">
        <f t="shared" si="57"/>
        <v>6.0714285714285714E-2</v>
      </c>
      <c r="M410" s="12">
        <v>21</v>
      </c>
      <c r="N410" s="12">
        <v>13</v>
      </c>
      <c r="P410" s="32" t="s">
        <v>500</v>
      </c>
      <c r="Q410" s="23" t="s">
        <v>963</v>
      </c>
    </row>
    <row r="411" spans="1:17" ht="16.5">
      <c r="A411" s="25">
        <v>46064</v>
      </c>
      <c r="B411" s="29">
        <v>0.47152777777777777</v>
      </c>
      <c r="C411" s="11">
        <v>46066</v>
      </c>
      <c r="D411" s="24" t="str">
        <f t="shared" si="56"/>
        <v>RRA</v>
      </c>
      <c r="E411" s="13" t="str">
        <f>VLOOKUP(D:D,工作表2!A:B,2,0)</f>
        <v>邦善</v>
      </c>
      <c r="F411" s="13" t="str">
        <f>VLOOKUP(D:D,工作表2!A:C,3,0)</f>
        <v>灰</v>
      </c>
      <c r="G411" s="17">
        <v>10313196</v>
      </c>
      <c r="H411" s="17" t="s">
        <v>833</v>
      </c>
      <c r="I411" s="18" t="s">
        <v>834</v>
      </c>
      <c r="J411" s="15">
        <v>400</v>
      </c>
      <c r="K411" s="15">
        <v>30</v>
      </c>
      <c r="L411" s="20">
        <f t="shared" si="57"/>
        <v>7.4999999999999997E-2</v>
      </c>
      <c r="M411" s="12">
        <v>27</v>
      </c>
      <c r="N411" s="12">
        <v>3</v>
      </c>
      <c r="P411" s="32" t="s">
        <v>500</v>
      </c>
      <c r="Q411" s="23" t="s">
        <v>962</v>
      </c>
    </row>
    <row r="412" spans="1:17" ht="16.5">
      <c r="A412" s="25">
        <v>46059</v>
      </c>
      <c r="B412" s="29">
        <v>0.59375</v>
      </c>
      <c r="C412" s="11">
        <v>46066</v>
      </c>
      <c r="D412" s="24" t="str">
        <f t="shared" si="56"/>
        <v>NGW</v>
      </c>
      <c r="E412" s="13" t="str">
        <f>VLOOKUP(D:D,工作表2!A:B,2,0)</f>
        <v>邦善</v>
      </c>
      <c r="F412" s="13" t="str">
        <f>VLOOKUP(D:D,工作表2!A:C,3,0)</f>
        <v>白</v>
      </c>
      <c r="G412" s="17">
        <v>10310693</v>
      </c>
      <c r="H412" s="17" t="s">
        <v>521</v>
      </c>
      <c r="I412" s="18" t="s">
        <v>533</v>
      </c>
      <c r="J412" s="15">
        <v>1876</v>
      </c>
      <c r="K412" s="15">
        <v>196</v>
      </c>
      <c r="L412" s="20">
        <f t="shared" si="57"/>
        <v>0.1044776119402985</v>
      </c>
      <c r="M412" s="12">
        <v>156</v>
      </c>
      <c r="N412" s="12">
        <v>40</v>
      </c>
      <c r="P412" s="32" t="s">
        <v>500</v>
      </c>
      <c r="Q412" s="23" t="s">
        <v>961</v>
      </c>
    </row>
    <row r="413" spans="1:17" ht="16.5">
      <c r="A413" s="25">
        <v>46065</v>
      </c>
      <c r="B413" s="29">
        <v>0.37986111111111115</v>
      </c>
      <c r="C413" s="11">
        <v>46076</v>
      </c>
      <c r="D413" s="24" t="str">
        <f t="shared" ref="D413:D421" si="58">RIGHT(I413,3)</f>
        <v>QRB</v>
      </c>
      <c r="E413" s="13" t="str">
        <f>VLOOKUP(D:D,工作表2!A:B,2,0)</f>
        <v>邦善</v>
      </c>
      <c r="F413" s="13" t="str">
        <f>VLOOKUP(D:D,工作表2!A:C,3,0)</f>
        <v>霧面黑</v>
      </c>
      <c r="G413" s="17">
        <v>10312402</v>
      </c>
      <c r="H413" s="17" t="s">
        <v>170</v>
      </c>
      <c r="I413" s="18" t="s">
        <v>171</v>
      </c>
      <c r="J413" s="15">
        <v>25802</v>
      </c>
      <c r="K413" s="15">
        <v>671</v>
      </c>
      <c r="L413" s="20">
        <f t="shared" ref="L413:L421" si="59">K413/J413</f>
        <v>2.6005735989458181E-2</v>
      </c>
      <c r="M413" s="12">
        <v>515</v>
      </c>
      <c r="N413" s="12">
        <v>106</v>
      </c>
      <c r="O413" s="15">
        <v>50</v>
      </c>
      <c r="P413" s="32" t="s">
        <v>500</v>
      </c>
      <c r="Q413" s="23"/>
    </row>
    <row r="414" spans="1:17" ht="16.5">
      <c r="A414" s="25">
        <v>46063</v>
      </c>
      <c r="B414" s="29">
        <v>0.4770833333333333</v>
      </c>
      <c r="C414" s="11">
        <v>46076</v>
      </c>
      <c r="D414" s="24" t="str">
        <f t="shared" si="58"/>
        <v>RCA</v>
      </c>
      <c r="E414" s="13" t="str">
        <f>VLOOKUP(D:D,工作表2!A:B,2,0)</f>
        <v>邦善</v>
      </c>
      <c r="F414" s="13" t="str">
        <f>VLOOKUP(D:D,工作表2!A:C,3,0)</f>
        <v>灰</v>
      </c>
      <c r="G414" s="17">
        <v>10310715</v>
      </c>
      <c r="H414" s="17" t="s">
        <v>675</v>
      </c>
      <c r="I414" s="18" t="s">
        <v>690</v>
      </c>
      <c r="J414" s="15">
        <v>560</v>
      </c>
      <c r="K414" s="15">
        <v>25</v>
      </c>
      <c r="L414" s="20">
        <f t="shared" si="59"/>
        <v>4.4642857142857144E-2</v>
      </c>
      <c r="M414" s="12">
        <v>20</v>
      </c>
      <c r="N414" s="12">
        <v>5</v>
      </c>
      <c r="P414" s="32" t="s">
        <v>500</v>
      </c>
      <c r="Q414" s="23" t="s">
        <v>963</v>
      </c>
    </row>
    <row r="415" spans="1:17" ht="16.5">
      <c r="A415" s="25">
        <v>46063</v>
      </c>
      <c r="B415" s="29">
        <v>0.59861111111111109</v>
      </c>
      <c r="C415" s="11">
        <v>46076</v>
      </c>
      <c r="D415" s="24" t="str">
        <f t="shared" si="58"/>
        <v>NGW</v>
      </c>
      <c r="E415" s="13" t="str">
        <f>VLOOKUP(D:D,工作表2!A:B,2,0)</f>
        <v>邦善</v>
      </c>
      <c r="F415" s="13" t="str">
        <f>VLOOKUP(D:D,工作表2!A:C,3,0)</f>
        <v>白</v>
      </c>
      <c r="G415" s="17">
        <v>10310718</v>
      </c>
      <c r="H415" s="17" t="s">
        <v>435</v>
      </c>
      <c r="I415" s="18" t="s">
        <v>437</v>
      </c>
      <c r="J415" s="15">
        <v>600</v>
      </c>
      <c r="K415" s="15">
        <v>49</v>
      </c>
      <c r="L415" s="20">
        <f t="shared" si="59"/>
        <v>8.1666666666666665E-2</v>
      </c>
      <c r="M415" s="12">
        <v>42</v>
      </c>
      <c r="N415" s="12">
        <v>7</v>
      </c>
      <c r="P415" s="32" t="s">
        <v>500</v>
      </c>
      <c r="Q415" s="23" t="s">
        <v>962</v>
      </c>
    </row>
    <row r="416" spans="1:17" ht="16.5">
      <c r="A416" s="25">
        <v>46058</v>
      </c>
      <c r="B416" s="29">
        <v>0.57986111111111105</v>
      </c>
      <c r="C416" s="11">
        <v>46076</v>
      </c>
      <c r="D416" s="24" t="str">
        <f t="shared" si="58"/>
        <v>QFA</v>
      </c>
      <c r="E416" s="13" t="str">
        <f>VLOOKUP(D:D,工作表2!A:B,2,0)</f>
        <v>邦善</v>
      </c>
      <c r="F416" s="13" t="str">
        <f>VLOOKUP(D:D,工作表2!A:C,3,0)</f>
        <v>灰</v>
      </c>
      <c r="G416" s="17">
        <v>10310726</v>
      </c>
      <c r="H416" s="17" t="s">
        <v>630</v>
      </c>
      <c r="I416" s="18" t="s">
        <v>636</v>
      </c>
      <c r="J416" s="15">
        <v>560</v>
      </c>
      <c r="K416" s="15">
        <v>40</v>
      </c>
      <c r="L416" s="20">
        <f t="shared" si="59"/>
        <v>7.1428571428571425E-2</v>
      </c>
      <c r="M416" s="12">
        <v>30</v>
      </c>
      <c r="N416" s="12">
        <v>10</v>
      </c>
      <c r="P416" s="32" t="s">
        <v>500</v>
      </c>
      <c r="Q416" s="23"/>
    </row>
    <row r="417" spans="1:17" ht="16.5">
      <c r="A417" s="25">
        <v>46076</v>
      </c>
      <c r="B417" s="29">
        <v>0.38541666666666669</v>
      </c>
      <c r="C417" s="11">
        <v>46077</v>
      </c>
      <c r="D417" s="24" t="str">
        <f t="shared" si="58"/>
        <v>QRB</v>
      </c>
      <c r="E417" s="13" t="str">
        <f>VLOOKUP(D:D,工作表2!A:B,2,0)</f>
        <v>邦善</v>
      </c>
      <c r="F417" s="13" t="str">
        <f>VLOOKUP(D:D,工作表2!A:C,3,0)</f>
        <v>霧面黑</v>
      </c>
      <c r="G417" s="17">
        <v>10312407</v>
      </c>
      <c r="H417" s="17" t="s">
        <v>170</v>
      </c>
      <c r="I417" s="18" t="s">
        <v>171</v>
      </c>
      <c r="J417" s="15">
        <v>28728</v>
      </c>
      <c r="K417" s="15">
        <v>1020</v>
      </c>
      <c r="L417" s="20">
        <f t="shared" si="59"/>
        <v>3.5505430242272346E-2</v>
      </c>
      <c r="M417" s="12">
        <v>718</v>
      </c>
      <c r="N417" s="12">
        <v>290</v>
      </c>
      <c r="O417" s="15">
        <v>12</v>
      </c>
      <c r="P417" s="32" t="s">
        <v>500</v>
      </c>
      <c r="Q417" s="23"/>
    </row>
    <row r="418" spans="1:17" ht="16.5">
      <c r="A418" s="25">
        <v>46062</v>
      </c>
      <c r="B418" s="29">
        <v>0.62916666666666665</v>
      </c>
      <c r="C418" s="19">
        <v>46077</v>
      </c>
      <c r="D418" s="24" t="str">
        <f t="shared" si="58"/>
        <v>NEA</v>
      </c>
      <c r="E418" s="13" t="str">
        <f>VLOOKUP(D:D,工作表2!A:B,2,0)</f>
        <v>邦善</v>
      </c>
      <c r="F418" s="13" t="str">
        <f>VLOOKUP(D:D,工作表2!A:C,3,0)</f>
        <v>灰</v>
      </c>
      <c r="G418" s="17">
        <v>10313171</v>
      </c>
      <c r="H418" s="17" t="s">
        <v>563</v>
      </c>
      <c r="I418" s="18" t="s">
        <v>571</v>
      </c>
      <c r="J418" s="15">
        <v>520</v>
      </c>
      <c r="K418" s="15">
        <v>41</v>
      </c>
      <c r="L418" s="20">
        <f t="shared" si="59"/>
        <v>7.8846153846153844E-2</v>
      </c>
      <c r="M418" s="12">
        <v>26</v>
      </c>
      <c r="N418" s="12">
        <v>15</v>
      </c>
      <c r="P418" s="32" t="s">
        <v>500</v>
      </c>
      <c r="Q418" s="23" t="s">
        <v>963</v>
      </c>
    </row>
    <row r="419" spans="1:17" ht="16.5">
      <c r="A419" s="25">
        <v>46064</v>
      </c>
      <c r="B419" s="29">
        <v>0.63888888888888895</v>
      </c>
      <c r="C419" s="19">
        <v>46077</v>
      </c>
      <c r="D419" s="24" t="str">
        <f t="shared" si="58"/>
        <v>NEA</v>
      </c>
      <c r="E419" s="13" t="str">
        <f>VLOOKUP(D:D,工作表2!A:B,2,0)</f>
        <v>邦善</v>
      </c>
      <c r="F419" s="13" t="str">
        <f>VLOOKUP(D:D,工作表2!A:C,3,0)</f>
        <v>灰</v>
      </c>
      <c r="G419" s="17">
        <v>10313174</v>
      </c>
      <c r="H419" s="17" t="s">
        <v>595</v>
      </c>
      <c r="I419" s="18" t="s">
        <v>603</v>
      </c>
      <c r="J419" s="15">
        <v>800</v>
      </c>
      <c r="K419" s="15">
        <v>71</v>
      </c>
      <c r="L419" s="20">
        <f t="shared" si="59"/>
        <v>8.8749999999999996E-2</v>
      </c>
      <c r="M419" s="12">
        <v>60</v>
      </c>
      <c r="N419" s="12">
        <v>11</v>
      </c>
      <c r="P419" s="32" t="s">
        <v>500</v>
      </c>
      <c r="Q419" s="23" t="s">
        <v>962</v>
      </c>
    </row>
    <row r="420" spans="1:17" ht="16.5">
      <c r="A420" s="25">
        <v>46076</v>
      </c>
      <c r="B420" s="29">
        <v>0.53680555555555554</v>
      </c>
      <c r="C420" s="19">
        <v>46077</v>
      </c>
      <c r="D420" s="24" t="str">
        <f t="shared" si="58"/>
        <v>SYL</v>
      </c>
      <c r="E420" s="13" t="str">
        <f>VLOOKUP(D:D,工作表2!A:B,2,0)</f>
        <v>邦善</v>
      </c>
      <c r="F420" s="13" t="str">
        <f>VLOOKUP(D:D,工作表2!A:C,3,0)</f>
        <v>藍</v>
      </c>
      <c r="G420" s="17">
        <v>10310724</v>
      </c>
      <c r="H420" s="17" t="s">
        <v>594</v>
      </c>
      <c r="I420" s="18" t="s">
        <v>602</v>
      </c>
      <c r="J420" s="15">
        <v>520</v>
      </c>
      <c r="K420" s="15">
        <v>36</v>
      </c>
      <c r="L420" s="20">
        <f t="shared" si="59"/>
        <v>6.9230769230769235E-2</v>
      </c>
      <c r="M420" s="12">
        <v>30</v>
      </c>
      <c r="N420" s="12">
        <v>6</v>
      </c>
      <c r="P420" s="32" t="s">
        <v>500</v>
      </c>
      <c r="Q420" s="23"/>
    </row>
    <row r="421" spans="1:17" ht="16.5">
      <c r="A421" s="25">
        <v>46063</v>
      </c>
      <c r="B421" s="29">
        <v>0.55277777777777781</v>
      </c>
      <c r="C421" s="19">
        <v>46077</v>
      </c>
      <c r="D421" s="24" t="str">
        <f t="shared" si="58"/>
        <v>SYL</v>
      </c>
      <c r="E421" s="13" t="str">
        <f>VLOOKUP(D:D,工作表2!A:B,2,0)</f>
        <v>邦善</v>
      </c>
      <c r="F421" s="13" t="str">
        <f>VLOOKUP(D:D,工作表2!A:C,3,0)</f>
        <v>藍</v>
      </c>
      <c r="G421" s="17">
        <v>10310719</v>
      </c>
      <c r="H421" s="17" t="s">
        <v>835</v>
      </c>
      <c r="I421" s="18" t="s">
        <v>836</v>
      </c>
      <c r="J421" s="15">
        <v>400</v>
      </c>
      <c r="K421" s="15">
        <v>30</v>
      </c>
      <c r="L421" s="20">
        <f t="shared" si="59"/>
        <v>7.4999999999999997E-2</v>
      </c>
      <c r="M421" s="12">
        <v>18</v>
      </c>
      <c r="N421" s="12">
        <v>12</v>
      </c>
      <c r="P421" s="32" t="s">
        <v>500</v>
      </c>
      <c r="Q421" s="23" t="s">
        <v>962</v>
      </c>
    </row>
    <row r="422" spans="1:17" ht="16.5">
      <c r="A422" s="25">
        <v>46063</v>
      </c>
      <c r="B422" s="29">
        <v>0.53749999999999998</v>
      </c>
      <c r="C422" s="11">
        <v>46078</v>
      </c>
      <c r="D422" s="24" t="str">
        <f t="shared" ref="D422:D448" si="60">RIGHT(I422,3)</f>
        <v>RCA</v>
      </c>
      <c r="E422" s="13" t="str">
        <f>VLOOKUP(D:D,工作表2!A:B,2,0)</f>
        <v>邦善</v>
      </c>
      <c r="F422" s="13" t="str">
        <f>VLOOKUP(D:D,工作表2!A:C,3,0)</f>
        <v>灰</v>
      </c>
      <c r="G422" s="17">
        <v>10313162</v>
      </c>
      <c r="H422" s="17" t="s">
        <v>402</v>
      </c>
      <c r="I422" s="18" t="s">
        <v>404</v>
      </c>
      <c r="J422" s="15">
        <v>798</v>
      </c>
      <c r="K422" s="15">
        <v>27</v>
      </c>
      <c r="L422" s="20">
        <f t="shared" ref="L422:L448" si="61">K422/J422</f>
        <v>3.3834586466165412E-2</v>
      </c>
      <c r="M422" s="12">
        <v>22</v>
      </c>
      <c r="N422" s="12">
        <v>5</v>
      </c>
      <c r="P422" s="32" t="s">
        <v>500</v>
      </c>
      <c r="Q422" s="23"/>
    </row>
    <row r="423" spans="1:17">
      <c r="A423" s="25">
        <v>46063</v>
      </c>
      <c r="B423" s="29">
        <v>0.54027777777777775</v>
      </c>
      <c r="C423" s="19">
        <v>46078</v>
      </c>
      <c r="D423" s="24" t="str">
        <f t="shared" si="60"/>
        <v>SYL</v>
      </c>
      <c r="E423" s="13" t="str">
        <f>VLOOKUP(D:D,工作表2!A:B,2,0)</f>
        <v>邦善</v>
      </c>
      <c r="F423" s="13" t="str">
        <f>VLOOKUP(D:D,工作表2!A:C,3,0)</f>
        <v>藍</v>
      </c>
      <c r="G423" s="17">
        <v>10313164</v>
      </c>
      <c r="H423" s="17" t="s">
        <v>384</v>
      </c>
      <c r="I423" s="18" t="s">
        <v>389</v>
      </c>
      <c r="J423" s="15">
        <v>1862</v>
      </c>
      <c r="K423" s="15">
        <v>87</v>
      </c>
      <c r="L423" s="20">
        <f t="shared" si="61"/>
        <v>4.6723952738990333E-2</v>
      </c>
      <c r="M423" s="12">
        <v>67</v>
      </c>
      <c r="N423" s="12">
        <v>20</v>
      </c>
      <c r="P423" s="32" t="s">
        <v>864</v>
      </c>
      <c r="Q423" s="23"/>
    </row>
    <row r="424" spans="1:17" ht="16.5">
      <c r="A424" s="25">
        <v>46062</v>
      </c>
      <c r="B424" s="29">
        <v>0.66875000000000007</v>
      </c>
      <c r="C424" s="19">
        <v>46078</v>
      </c>
      <c r="D424" s="24" t="str">
        <f t="shared" si="60"/>
        <v>UUS</v>
      </c>
      <c r="E424" s="13" t="str">
        <f>VLOOKUP(D:D,工作表2!A:B,2,0)</f>
        <v>邦善</v>
      </c>
      <c r="F424" s="13" t="str">
        <f>VLOOKUP(D:D,工作表2!A:C,3,0)</f>
        <v>銀</v>
      </c>
      <c r="G424" s="17">
        <v>10313167</v>
      </c>
      <c r="H424" s="17" t="s">
        <v>418</v>
      </c>
      <c r="I424" s="18" t="s">
        <v>421</v>
      </c>
      <c r="J424" s="15">
        <v>798</v>
      </c>
      <c r="K424" s="15">
        <v>31</v>
      </c>
      <c r="L424" s="20">
        <f t="shared" si="61"/>
        <v>3.8847117794486213E-2</v>
      </c>
      <c r="M424" s="12">
        <v>25</v>
      </c>
      <c r="N424" s="12">
        <v>6</v>
      </c>
      <c r="P424" s="32" t="s">
        <v>500</v>
      </c>
      <c r="Q424" s="23"/>
    </row>
    <row r="425" spans="1:17" ht="16.5">
      <c r="A425" s="25">
        <v>46077</v>
      </c>
      <c r="B425" s="29">
        <v>0.43124999999999997</v>
      </c>
      <c r="C425" s="19">
        <v>46078</v>
      </c>
      <c r="D425" s="24" t="str">
        <f t="shared" si="60"/>
        <v>S3B</v>
      </c>
      <c r="E425" s="13" t="str">
        <f>VLOOKUP(D:D,工作表2!A:B,2,0)</f>
        <v>邦善</v>
      </c>
      <c r="F425" s="13" t="str">
        <f>VLOOKUP(D:D,工作表2!A:C,3,0)</f>
        <v>黑</v>
      </c>
      <c r="G425" s="17">
        <v>10312424</v>
      </c>
      <c r="H425" s="17" t="s">
        <v>375</v>
      </c>
      <c r="I425" s="18" t="s">
        <v>379</v>
      </c>
      <c r="J425" s="15">
        <v>1596</v>
      </c>
      <c r="K425" s="15">
        <v>59</v>
      </c>
      <c r="L425" s="20">
        <f t="shared" si="61"/>
        <v>3.6967418546365913E-2</v>
      </c>
      <c r="M425" s="12">
        <v>40</v>
      </c>
      <c r="N425" s="12">
        <v>19</v>
      </c>
      <c r="P425" s="32" t="s">
        <v>500</v>
      </c>
      <c r="Q425" s="23"/>
    </row>
    <row r="426" spans="1:17" ht="16.5">
      <c r="A426" s="25">
        <v>46077</v>
      </c>
      <c r="B426" s="29">
        <v>0.47152777777777777</v>
      </c>
      <c r="C426" s="19">
        <v>46078</v>
      </c>
      <c r="D426" s="24" t="str">
        <f t="shared" si="60"/>
        <v>SAA</v>
      </c>
      <c r="E426" s="13" t="str">
        <f>VLOOKUP(D:D,工作表2!A:B,2,0)</f>
        <v>邦善</v>
      </c>
      <c r="F426" s="13" t="str">
        <f>VLOOKUP(D:D,工作表2!A:C,3,0)</f>
        <v>灰</v>
      </c>
      <c r="G426" s="17">
        <v>10312433</v>
      </c>
      <c r="H426" s="17" t="s">
        <v>619</v>
      </c>
      <c r="I426" s="18" t="s">
        <v>628</v>
      </c>
      <c r="J426" s="15">
        <v>1862</v>
      </c>
      <c r="K426" s="15">
        <v>60</v>
      </c>
      <c r="L426" s="20">
        <f t="shared" si="61"/>
        <v>3.2223415682062301E-2</v>
      </c>
      <c r="M426" s="12">
        <v>55</v>
      </c>
      <c r="N426" s="12">
        <v>5</v>
      </c>
      <c r="P426" s="32" t="s">
        <v>500</v>
      </c>
      <c r="Q426" s="23"/>
    </row>
    <row r="427" spans="1:17" ht="16.5">
      <c r="A427" s="25">
        <v>46077</v>
      </c>
      <c r="B427" s="29">
        <v>0.5395833333333333</v>
      </c>
      <c r="C427" s="19">
        <v>46078</v>
      </c>
      <c r="D427" s="24" t="str">
        <f t="shared" si="60"/>
        <v>TUR</v>
      </c>
      <c r="E427" s="13" t="str">
        <f>VLOOKUP(D:D,工作表2!A:B,2,0)</f>
        <v>邦善</v>
      </c>
      <c r="F427" s="13" t="str">
        <f>VLOOKUP(D:D,工作表2!A:C,3,0)</f>
        <v>紅</v>
      </c>
      <c r="G427" s="17">
        <v>10312432</v>
      </c>
      <c r="H427" s="17" t="s">
        <v>611</v>
      </c>
      <c r="I427" s="18" t="s">
        <v>621</v>
      </c>
      <c r="J427" s="15">
        <v>1330</v>
      </c>
      <c r="K427" s="15">
        <v>104</v>
      </c>
      <c r="L427" s="20">
        <f t="shared" si="61"/>
        <v>7.8195488721804512E-2</v>
      </c>
      <c r="M427" s="12">
        <v>99</v>
      </c>
      <c r="N427" s="12">
        <v>5</v>
      </c>
      <c r="P427" s="32" t="s">
        <v>500</v>
      </c>
      <c r="Q427" s="23"/>
    </row>
    <row r="428" spans="1:17" ht="16.5">
      <c r="A428" s="25">
        <v>46077</v>
      </c>
      <c r="B428" s="29">
        <v>0.45833333333333331</v>
      </c>
      <c r="C428" s="19">
        <v>46078</v>
      </c>
      <c r="D428" s="24" t="str">
        <f t="shared" si="60"/>
        <v>U3L</v>
      </c>
      <c r="E428" s="13" t="str">
        <f>VLOOKUP(D:D,工作表2!A:B,2,0)</f>
        <v>邦善</v>
      </c>
      <c r="F428" s="13" t="str">
        <f>VLOOKUP(D:D,工作表2!A:C,3,0)</f>
        <v>藍</v>
      </c>
      <c r="G428" s="17">
        <v>10312430</v>
      </c>
      <c r="H428" s="17" t="s">
        <v>392</v>
      </c>
      <c r="I428" s="18" t="s">
        <v>394</v>
      </c>
      <c r="J428" s="15">
        <v>2926</v>
      </c>
      <c r="K428" s="15">
        <v>56</v>
      </c>
      <c r="L428" s="20">
        <f t="shared" si="61"/>
        <v>1.9138755980861243E-2</v>
      </c>
      <c r="M428" s="12">
        <v>40</v>
      </c>
      <c r="N428" s="12">
        <v>16</v>
      </c>
      <c r="P428" s="32" t="s">
        <v>500</v>
      </c>
      <c r="Q428" s="23"/>
    </row>
    <row r="429" spans="1:17" ht="16.5">
      <c r="A429" s="25">
        <v>46077</v>
      </c>
      <c r="B429" s="29">
        <v>0.44027777777777777</v>
      </c>
      <c r="C429" s="19">
        <v>46078</v>
      </c>
      <c r="D429" s="24" t="str">
        <f t="shared" si="60"/>
        <v>VLS</v>
      </c>
      <c r="E429" s="13" t="str">
        <f>VLOOKUP(D:D,工作表2!A:B,2,0)</f>
        <v>邦善</v>
      </c>
      <c r="F429" s="13" t="str">
        <f>VLOOKUP(D:D,工作表2!A:C,3,0)</f>
        <v>銀</v>
      </c>
      <c r="G429" s="17">
        <v>10312423</v>
      </c>
      <c r="H429" s="17" t="s">
        <v>383</v>
      </c>
      <c r="I429" s="18" t="s">
        <v>388</v>
      </c>
      <c r="J429" s="15">
        <v>4522</v>
      </c>
      <c r="K429" s="15">
        <v>153</v>
      </c>
      <c r="L429" s="20">
        <f t="shared" si="61"/>
        <v>3.3834586466165412E-2</v>
      </c>
      <c r="M429" s="12">
        <v>147</v>
      </c>
      <c r="N429" s="12">
        <v>6</v>
      </c>
      <c r="P429" s="32" t="s">
        <v>500</v>
      </c>
      <c r="Q429" s="23"/>
    </row>
    <row r="430" spans="1:17" ht="16.5">
      <c r="A430" s="25">
        <v>46077</v>
      </c>
      <c r="B430" s="29">
        <v>0.52638888888888891</v>
      </c>
      <c r="C430" s="19">
        <v>46078</v>
      </c>
      <c r="D430" s="24" t="str">
        <f t="shared" si="60"/>
        <v>VWL</v>
      </c>
      <c r="E430" s="13" t="str">
        <f>VLOOKUP(D:D,工作表2!A:B,2,0)</f>
        <v>邦善</v>
      </c>
      <c r="F430" s="13" t="str">
        <f>VLOOKUP(D:D,工作表2!A:C,3,0)</f>
        <v>藍</v>
      </c>
      <c r="G430" s="17">
        <v>10312434</v>
      </c>
      <c r="H430" s="17" t="s">
        <v>400</v>
      </c>
      <c r="I430" s="18" t="s">
        <v>401</v>
      </c>
      <c r="J430" s="15">
        <v>1330</v>
      </c>
      <c r="K430" s="15">
        <v>95</v>
      </c>
      <c r="L430" s="20">
        <f t="shared" si="61"/>
        <v>7.1428571428571425E-2</v>
      </c>
      <c r="M430" s="12">
        <v>91</v>
      </c>
      <c r="N430" s="12">
        <v>4</v>
      </c>
      <c r="P430" s="32" t="s">
        <v>500</v>
      </c>
      <c r="Q430" s="23"/>
    </row>
    <row r="431" spans="1:17" ht="16.5">
      <c r="A431" s="25">
        <v>46077</v>
      </c>
      <c r="B431" s="29">
        <v>0.53541666666666665</v>
      </c>
      <c r="C431" s="19">
        <v>46078</v>
      </c>
      <c r="D431" s="24" t="str">
        <f t="shared" si="60"/>
        <v>VXW</v>
      </c>
      <c r="E431" s="13" t="str">
        <f>VLOOKUP(D:D,工作表2!A:B,2,0)</f>
        <v>邦善</v>
      </c>
      <c r="F431" s="13" t="str">
        <f>VLOOKUP(D:D,工作表2!A:C,3,0)</f>
        <v>白</v>
      </c>
      <c r="G431" s="17">
        <v>10312435</v>
      </c>
      <c r="H431" s="17" t="s">
        <v>397</v>
      </c>
      <c r="I431" s="18" t="s">
        <v>399</v>
      </c>
      <c r="J431" s="15">
        <v>532</v>
      </c>
      <c r="K431" s="15">
        <v>29</v>
      </c>
      <c r="L431" s="20">
        <f t="shared" si="61"/>
        <v>5.4511278195488719E-2</v>
      </c>
      <c r="M431" s="12">
        <v>27</v>
      </c>
      <c r="N431" s="12">
        <v>2</v>
      </c>
      <c r="P431" s="32" t="s">
        <v>500</v>
      </c>
      <c r="Q431" s="23"/>
    </row>
    <row r="432" spans="1:17" ht="16.5">
      <c r="A432" s="25">
        <v>46077</v>
      </c>
      <c r="B432" s="29">
        <v>0.53125</v>
      </c>
      <c r="C432" s="19">
        <v>46078</v>
      </c>
      <c r="D432" s="24" t="str">
        <f t="shared" si="60"/>
        <v>X9A</v>
      </c>
      <c r="E432" s="13" t="str">
        <f>VLOOKUP(D:D,工作表2!A:B,2,0)</f>
        <v>邦善</v>
      </c>
      <c r="F432" s="13" t="str">
        <f>VLOOKUP(D:D,工作表2!A:C,3,0)</f>
        <v>灰</v>
      </c>
      <c r="G432" s="17">
        <v>10312429</v>
      </c>
      <c r="H432" s="17" t="s">
        <v>849</v>
      </c>
      <c r="I432" s="18" t="s">
        <v>862</v>
      </c>
      <c r="J432" s="15">
        <v>1064</v>
      </c>
      <c r="K432" s="15">
        <v>69</v>
      </c>
      <c r="L432" s="20">
        <f t="shared" si="61"/>
        <v>6.4849624060150379E-2</v>
      </c>
      <c r="M432" s="12">
        <v>66</v>
      </c>
      <c r="N432" s="12">
        <v>3</v>
      </c>
      <c r="P432" s="32" t="s">
        <v>500</v>
      </c>
      <c r="Q432" s="23"/>
    </row>
    <row r="433" spans="1:20" ht="16.5">
      <c r="A433" s="25">
        <v>46077</v>
      </c>
      <c r="B433" s="29">
        <v>0.5444444444444444</v>
      </c>
      <c r="C433" s="19">
        <v>46078</v>
      </c>
      <c r="D433" s="24" t="str">
        <f t="shared" si="60"/>
        <v>XCS</v>
      </c>
      <c r="E433" s="13" t="str">
        <f>VLOOKUP(D:D,工作表2!A:B,2,0)</f>
        <v>邦善</v>
      </c>
      <c r="F433" s="13" t="str">
        <f>VLOOKUP(D:D,工作表2!A:C,3,0)</f>
        <v>銀</v>
      </c>
      <c r="G433" s="17">
        <v>10312428</v>
      </c>
      <c r="H433" s="17" t="s">
        <v>848</v>
      </c>
      <c r="I433" s="18" t="s">
        <v>861</v>
      </c>
      <c r="J433" s="15">
        <v>1064</v>
      </c>
      <c r="K433" s="15">
        <v>85</v>
      </c>
      <c r="L433" s="20">
        <f t="shared" si="61"/>
        <v>7.9887218045112784E-2</v>
      </c>
      <c r="M433" s="12">
        <v>78</v>
      </c>
      <c r="N433" s="12">
        <v>7</v>
      </c>
      <c r="P433" s="32" t="s">
        <v>500</v>
      </c>
      <c r="Q433" s="23"/>
    </row>
    <row r="434" spans="1:20" ht="16.5">
      <c r="A434" s="25">
        <v>46063</v>
      </c>
      <c r="B434" s="29">
        <v>0.62222222222222223</v>
      </c>
      <c r="C434" s="19">
        <v>46078</v>
      </c>
      <c r="D434" s="24" t="str">
        <f t="shared" si="60"/>
        <v>09B</v>
      </c>
      <c r="E434" s="13" t="str">
        <f>VLOOKUP(D:D,工作表2!A:B,2,0)</f>
        <v>邦善</v>
      </c>
      <c r="F434" s="13" t="str">
        <f>VLOOKUP(D:D,工作表2!A:C,3,0)</f>
        <v>黑</v>
      </c>
      <c r="G434" s="17">
        <v>10314177</v>
      </c>
      <c r="H434" s="17" t="s">
        <v>838</v>
      </c>
      <c r="I434" s="18" t="s">
        <v>851</v>
      </c>
      <c r="J434" s="15">
        <v>160</v>
      </c>
      <c r="K434" s="15">
        <v>7</v>
      </c>
      <c r="L434" s="20">
        <f t="shared" si="61"/>
        <v>4.3749999999999997E-2</v>
      </c>
      <c r="M434" s="12">
        <v>5</v>
      </c>
      <c r="N434" s="12">
        <v>2</v>
      </c>
      <c r="P434" s="32" t="s">
        <v>500</v>
      </c>
      <c r="Q434" s="23"/>
    </row>
    <row r="435" spans="1:20" ht="16.5">
      <c r="A435" s="25">
        <v>46066</v>
      </c>
      <c r="B435" s="29">
        <v>0.39097222222222222</v>
      </c>
      <c r="C435" s="19">
        <v>46078</v>
      </c>
      <c r="D435" s="24" t="str">
        <f t="shared" si="60"/>
        <v>19W</v>
      </c>
      <c r="E435" s="13" t="str">
        <f>VLOOKUP(D:D,工作表2!A:B,2,0)</f>
        <v>敦陽</v>
      </c>
      <c r="F435" s="13" t="str">
        <f>VLOOKUP(D:D,工作表2!A:C,3,0)</f>
        <v>白</v>
      </c>
      <c r="G435" s="17">
        <v>10316721</v>
      </c>
      <c r="H435" s="17" t="s">
        <v>846</v>
      </c>
      <c r="I435" s="18" t="s">
        <v>859</v>
      </c>
      <c r="J435" s="15">
        <v>80</v>
      </c>
      <c r="K435" s="15">
        <v>7</v>
      </c>
      <c r="L435" s="20">
        <f t="shared" si="61"/>
        <v>8.7499999999999994E-2</v>
      </c>
      <c r="M435" s="12">
        <v>5</v>
      </c>
      <c r="N435" s="12">
        <v>2</v>
      </c>
      <c r="P435" s="32" t="s">
        <v>500</v>
      </c>
      <c r="Q435" s="23"/>
    </row>
    <row r="436" spans="1:20" ht="16.5">
      <c r="A436" s="25">
        <v>46063</v>
      </c>
      <c r="B436" s="29">
        <v>0.62569444444444444</v>
      </c>
      <c r="C436" s="19">
        <v>46078</v>
      </c>
      <c r="D436" s="24" t="str">
        <f t="shared" si="60"/>
        <v>71A</v>
      </c>
      <c r="E436" s="13" t="str">
        <f>VLOOKUP(D:D,工作表2!A:B,2,0)</f>
        <v>敦陽</v>
      </c>
      <c r="F436" s="13" t="str">
        <f>VLOOKUP(D:D,工作表2!A:C,3,0)</f>
        <v>灰</v>
      </c>
      <c r="G436" s="17">
        <v>10316722</v>
      </c>
      <c r="H436" s="17" t="s">
        <v>837</v>
      </c>
      <c r="I436" s="18" t="s">
        <v>850</v>
      </c>
      <c r="J436" s="15">
        <v>80</v>
      </c>
      <c r="K436" s="15">
        <v>13</v>
      </c>
      <c r="L436" s="20">
        <f t="shared" si="61"/>
        <v>0.16250000000000001</v>
      </c>
      <c r="M436" s="12">
        <v>10</v>
      </c>
      <c r="N436" s="12">
        <v>3</v>
      </c>
      <c r="P436" s="32" t="s">
        <v>500</v>
      </c>
      <c r="Q436" s="23"/>
    </row>
    <row r="437" spans="1:20" ht="16.5">
      <c r="A437" s="25">
        <v>46064</v>
      </c>
      <c r="B437" s="29">
        <v>0.66041666666666665</v>
      </c>
      <c r="C437" s="19">
        <v>46078</v>
      </c>
      <c r="D437" s="24" t="str">
        <f t="shared" si="60"/>
        <v>WRS</v>
      </c>
      <c r="E437" s="13" t="str">
        <f>VLOOKUP(D:D,工作表2!A:B,2,0)</f>
        <v>邦善</v>
      </c>
      <c r="F437" s="13" t="str">
        <f>VLOOKUP(D:D,工作表2!A:C,3,0)</f>
        <v>銀</v>
      </c>
      <c r="G437" s="17">
        <v>10316723</v>
      </c>
      <c r="H437" s="17" t="s">
        <v>645</v>
      </c>
      <c r="I437" s="18" t="s">
        <v>655</v>
      </c>
      <c r="J437" s="15">
        <v>80</v>
      </c>
      <c r="K437" s="15">
        <v>3</v>
      </c>
      <c r="L437" s="20">
        <f t="shared" si="61"/>
        <v>3.7499999999999999E-2</v>
      </c>
      <c r="M437" s="12">
        <v>3</v>
      </c>
      <c r="P437" s="32" t="s">
        <v>500</v>
      </c>
      <c r="Q437" s="23"/>
    </row>
    <row r="438" spans="1:20" ht="16.5">
      <c r="A438" s="25">
        <v>46062</v>
      </c>
      <c r="B438" s="29">
        <v>0.62777777777777777</v>
      </c>
      <c r="C438" s="19">
        <v>46078</v>
      </c>
      <c r="D438" s="24" t="str">
        <f t="shared" si="60"/>
        <v>N8B</v>
      </c>
      <c r="E438" s="13" t="str">
        <f>VLOOKUP(D:D,工作表2!A:B,2,0)</f>
        <v>邦善</v>
      </c>
      <c r="F438" s="13" t="str">
        <f>VLOOKUP(D:D,工作表2!A:C,3,0)</f>
        <v>霧面黑</v>
      </c>
      <c r="G438" s="17">
        <v>10313147</v>
      </c>
      <c r="H438" s="17" t="s">
        <v>5</v>
      </c>
      <c r="I438" s="18" t="s">
        <v>6</v>
      </c>
      <c r="J438" s="15">
        <v>266</v>
      </c>
      <c r="K438" s="15">
        <v>8</v>
      </c>
      <c r="L438" s="20">
        <f t="shared" si="61"/>
        <v>3.007518796992481E-2</v>
      </c>
      <c r="M438" s="12">
        <v>6</v>
      </c>
      <c r="N438" s="12">
        <v>2</v>
      </c>
      <c r="P438" s="32" t="s">
        <v>500</v>
      </c>
      <c r="Q438" s="23"/>
    </row>
    <row r="439" spans="1:20" ht="16.5">
      <c r="A439" s="25">
        <v>46062</v>
      </c>
      <c r="B439" s="29">
        <v>0.62222222222222223</v>
      </c>
      <c r="C439" s="19">
        <v>46078</v>
      </c>
      <c r="D439" s="24" t="str">
        <f t="shared" si="60"/>
        <v>NBB</v>
      </c>
      <c r="E439" s="13" t="str">
        <f>VLOOKUP(D:D,工作表2!A:B,2,0)</f>
        <v>邦善</v>
      </c>
      <c r="F439" s="13" t="str">
        <f>VLOOKUP(D:D,工作表2!A:C,3,0)</f>
        <v>霧面黑</v>
      </c>
      <c r="G439" s="17">
        <v>10313149</v>
      </c>
      <c r="H439" s="17" t="s">
        <v>306</v>
      </c>
      <c r="I439" s="18" t="s">
        <v>307</v>
      </c>
      <c r="J439" s="15">
        <v>1596</v>
      </c>
      <c r="K439" s="15">
        <v>10</v>
      </c>
      <c r="L439" s="20">
        <f t="shared" si="61"/>
        <v>6.2656641604010022E-3</v>
      </c>
      <c r="M439" s="12">
        <v>8</v>
      </c>
      <c r="N439" s="12">
        <v>2</v>
      </c>
      <c r="P439" s="32" t="s">
        <v>500</v>
      </c>
      <c r="Q439" s="23"/>
    </row>
    <row r="440" spans="1:20" ht="16.5">
      <c r="A440" s="25">
        <v>46062</v>
      </c>
      <c r="B440" s="29">
        <v>0.67083333333333339</v>
      </c>
      <c r="C440" s="19">
        <v>46078</v>
      </c>
      <c r="D440" s="24" t="str">
        <f t="shared" si="60"/>
        <v>UUS</v>
      </c>
      <c r="E440" s="13" t="str">
        <f>VLOOKUP(D:D,工作表2!A:B,2,0)</f>
        <v>邦善</v>
      </c>
      <c r="F440" s="13" t="str">
        <f>VLOOKUP(D:D,工作表2!A:C,3,0)</f>
        <v>銀</v>
      </c>
      <c r="G440" s="17">
        <v>10313148</v>
      </c>
      <c r="H440" s="17" t="s">
        <v>540</v>
      </c>
      <c r="I440" s="18" t="s">
        <v>551</v>
      </c>
      <c r="J440" s="15">
        <v>798</v>
      </c>
      <c r="K440" s="15">
        <v>35</v>
      </c>
      <c r="L440" s="20">
        <f t="shared" si="61"/>
        <v>4.3859649122807015E-2</v>
      </c>
      <c r="M440" s="12">
        <v>28</v>
      </c>
      <c r="N440" s="12">
        <v>7</v>
      </c>
      <c r="P440" s="32" t="s">
        <v>500</v>
      </c>
      <c r="Q440" s="23"/>
    </row>
    <row r="441" spans="1:20" ht="16.5">
      <c r="A441" s="25">
        <v>46063</v>
      </c>
      <c r="B441" s="29">
        <v>0.62152777777777779</v>
      </c>
      <c r="C441" s="19">
        <v>46078</v>
      </c>
      <c r="D441" s="24" t="str">
        <f t="shared" si="60"/>
        <v>09B</v>
      </c>
      <c r="E441" s="13" t="str">
        <f>VLOOKUP(D:D,工作表2!A:B,2,0)</f>
        <v>邦善</v>
      </c>
      <c r="F441" s="13" t="str">
        <f>VLOOKUP(D:D,工作表2!A:C,3,0)</f>
        <v>黑</v>
      </c>
      <c r="G441" s="17">
        <v>10316731</v>
      </c>
      <c r="H441" s="17" t="s">
        <v>847</v>
      </c>
      <c r="I441" s="18" t="s">
        <v>860</v>
      </c>
      <c r="J441" s="15">
        <v>80</v>
      </c>
      <c r="K441" s="15">
        <v>17</v>
      </c>
      <c r="L441" s="20">
        <f t="shared" si="61"/>
        <v>0.21249999999999999</v>
      </c>
      <c r="M441" s="12">
        <v>13</v>
      </c>
      <c r="N441" s="12">
        <v>4</v>
      </c>
      <c r="P441" s="32" t="s">
        <v>500</v>
      </c>
      <c r="Q441" s="23" t="s">
        <v>961</v>
      </c>
    </row>
    <row r="442" spans="1:20">
      <c r="A442" s="25">
        <v>46076</v>
      </c>
      <c r="B442" s="29">
        <v>0.54861111111111105</v>
      </c>
      <c r="C442" s="19">
        <v>46078</v>
      </c>
      <c r="D442" s="24" t="str">
        <f t="shared" si="60"/>
        <v>NRR</v>
      </c>
      <c r="E442" s="13" t="str">
        <f>VLOOKUP(D:D,工作表2!A:B,2,0)</f>
        <v>邦善</v>
      </c>
      <c r="F442" s="13" t="str">
        <f>VLOOKUP(D:D,工作表2!A:C,3,0)</f>
        <v>紅</v>
      </c>
      <c r="G442" s="17">
        <v>10313178</v>
      </c>
      <c r="H442" s="17" t="s">
        <v>845</v>
      </c>
      <c r="I442" s="18" t="s">
        <v>858</v>
      </c>
      <c r="J442" s="15">
        <v>352</v>
      </c>
      <c r="K442" s="15">
        <v>53</v>
      </c>
      <c r="L442" s="20">
        <f t="shared" si="61"/>
        <v>0.15056818181818182</v>
      </c>
      <c r="M442" s="12">
        <v>37</v>
      </c>
      <c r="N442" s="12">
        <v>13</v>
      </c>
      <c r="P442" s="32" t="s">
        <v>863</v>
      </c>
      <c r="Q442" s="23" t="s">
        <v>963</v>
      </c>
      <c r="T442" s="17">
        <v>3</v>
      </c>
    </row>
    <row r="443" spans="1:20" ht="16.5">
      <c r="A443" s="25">
        <v>46066</v>
      </c>
      <c r="B443" s="29">
        <v>0.36249999999999999</v>
      </c>
      <c r="C443" s="19">
        <v>46078</v>
      </c>
      <c r="D443" s="24" t="str">
        <f t="shared" si="60"/>
        <v>NRR</v>
      </c>
      <c r="E443" s="13" t="str">
        <f>VLOOKUP(D:D,工作表2!A:B,2,0)</f>
        <v>邦善</v>
      </c>
      <c r="F443" s="13" t="str">
        <f>VLOOKUP(D:D,工作表2!A:C,3,0)</f>
        <v>紅</v>
      </c>
      <c r="G443" s="17">
        <v>10313180</v>
      </c>
      <c r="H443" s="17" t="s">
        <v>840</v>
      </c>
      <c r="I443" s="18" t="s">
        <v>853</v>
      </c>
      <c r="J443" s="15">
        <v>480</v>
      </c>
      <c r="K443" s="15">
        <v>83</v>
      </c>
      <c r="L443" s="20">
        <f t="shared" si="61"/>
        <v>0.17291666666666666</v>
      </c>
      <c r="M443" s="12">
        <v>76</v>
      </c>
      <c r="N443" s="12">
        <v>7</v>
      </c>
      <c r="P443" s="32" t="s">
        <v>500</v>
      </c>
      <c r="Q443" s="23" t="s">
        <v>963</v>
      </c>
    </row>
    <row r="444" spans="1:20" ht="16.5">
      <c r="A444" s="25">
        <v>46064</v>
      </c>
      <c r="B444" s="29">
        <v>0.66666666666666663</v>
      </c>
      <c r="C444" s="19">
        <v>46078</v>
      </c>
      <c r="D444" s="24" t="str">
        <f t="shared" si="60"/>
        <v>RLR</v>
      </c>
      <c r="E444" s="13" t="str">
        <f>VLOOKUP(D:D,工作表2!A:B,2,0)</f>
        <v>邦善</v>
      </c>
      <c r="F444" s="13" t="str">
        <f>VLOOKUP(D:D,工作表2!A:C,3,0)</f>
        <v>紅</v>
      </c>
      <c r="G444" s="17">
        <v>10315448</v>
      </c>
      <c r="H444" s="17" t="s">
        <v>841</v>
      </c>
      <c r="I444" s="18" t="s">
        <v>854</v>
      </c>
      <c r="J444" s="15">
        <v>240</v>
      </c>
      <c r="K444" s="15">
        <v>21</v>
      </c>
      <c r="L444" s="20">
        <f t="shared" si="61"/>
        <v>8.7499999999999994E-2</v>
      </c>
      <c r="M444" s="12">
        <v>18</v>
      </c>
      <c r="N444" s="12">
        <v>3</v>
      </c>
      <c r="P444" s="32" t="s">
        <v>500</v>
      </c>
      <c r="Q444" s="23" t="s">
        <v>963</v>
      </c>
    </row>
    <row r="445" spans="1:20" ht="16.5">
      <c r="A445" s="25">
        <v>46063</v>
      </c>
      <c r="B445" s="29">
        <v>0.56180555555555556</v>
      </c>
      <c r="C445" s="19">
        <v>46078</v>
      </c>
      <c r="D445" s="24" t="str">
        <f t="shared" si="60"/>
        <v>SYL</v>
      </c>
      <c r="E445" s="13" t="str">
        <f>VLOOKUP(D:D,工作表2!A:B,2,0)</f>
        <v>邦善</v>
      </c>
      <c r="F445" s="13" t="str">
        <f>VLOOKUP(D:D,工作表2!A:C,3,0)</f>
        <v>藍</v>
      </c>
      <c r="G445" s="17">
        <v>10310727</v>
      </c>
      <c r="H445" s="17" t="s">
        <v>842</v>
      </c>
      <c r="I445" s="18" t="s">
        <v>855</v>
      </c>
      <c r="J445" s="15">
        <v>280</v>
      </c>
      <c r="K445" s="15">
        <v>8</v>
      </c>
      <c r="L445" s="20">
        <f t="shared" si="61"/>
        <v>2.8571428571428571E-2</v>
      </c>
      <c r="M445" s="12">
        <v>7</v>
      </c>
      <c r="N445" s="12">
        <v>1</v>
      </c>
      <c r="P445" s="32" t="s">
        <v>500</v>
      </c>
      <c r="Q445" s="23"/>
    </row>
    <row r="446" spans="1:20" ht="16.5">
      <c r="A446" s="25">
        <v>46063</v>
      </c>
      <c r="B446" s="29">
        <v>0.62777777777777777</v>
      </c>
      <c r="C446" s="19">
        <v>46078</v>
      </c>
      <c r="D446" s="24" t="str">
        <f t="shared" si="60"/>
        <v>N4L</v>
      </c>
      <c r="E446" s="13" t="str">
        <f>VLOOKUP(D:D,工作表2!A:B,2,0)</f>
        <v>邦善</v>
      </c>
      <c r="F446" s="13" t="str">
        <f>VLOOKUP(D:D,工作表2!A:C,3,0)</f>
        <v>藍</v>
      </c>
      <c r="G446" s="17">
        <v>10314964</v>
      </c>
      <c r="H446" s="17" t="s">
        <v>843</v>
      </c>
      <c r="I446" s="18" t="s">
        <v>856</v>
      </c>
      <c r="J446" s="15">
        <v>200</v>
      </c>
      <c r="K446" s="15">
        <v>64</v>
      </c>
      <c r="L446" s="20">
        <f t="shared" si="61"/>
        <v>0.32</v>
      </c>
      <c r="M446" s="12">
        <v>50</v>
      </c>
      <c r="N446" s="12">
        <v>14</v>
      </c>
      <c r="P446" s="32" t="s">
        <v>500</v>
      </c>
      <c r="Q446" s="23" t="s">
        <v>961</v>
      </c>
    </row>
    <row r="447" spans="1:20" ht="16.5">
      <c r="A447" s="25">
        <v>46076</v>
      </c>
      <c r="B447" s="29">
        <v>0.60902777777777783</v>
      </c>
      <c r="C447" s="19">
        <v>46078</v>
      </c>
      <c r="D447" s="24" t="str">
        <f t="shared" si="60"/>
        <v>NEA</v>
      </c>
      <c r="E447" s="13" t="str">
        <f>VLOOKUP(D:D,工作表2!A:B,2,0)</f>
        <v>邦善</v>
      </c>
      <c r="F447" s="13" t="str">
        <f>VLOOKUP(D:D,工作表2!A:C,3,0)</f>
        <v>灰</v>
      </c>
      <c r="G447" s="17">
        <v>10314963</v>
      </c>
      <c r="H447" s="17" t="s">
        <v>839</v>
      </c>
      <c r="I447" s="18" t="s">
        <v>852</v>
      </c>
      <c r="J447" s="15">
        <v>200</v>
      </c>
      <c r="K447" s="15">
        <v>34</v>
      </c>
      <c r="L447" s="20">
        <f t="shared" si="61"/>
        <v>0.17</v>
      </c>
      <c r="M447" s="12">
        <v>30</v>
      </c>
      <c r="N447" s="12">
        <v>4</v>
      </c>
      <c r="P447" s="32" t="s">
        <v>500</v>
      </c>
      <c r="Q447" s="23"/>
    </row>
    <row r="448" spans="1:20">
      <c r="A448" s="25">
        <v>46076</v>
      </c>
      <c r="B448" s="29">
        <v>0.61041666666666672</v>
      </c>
      <c r="C448" s="19">
        <v>46078</v>
      </c>
      <c r="D448" s="24" t="str">
        <f t="shared" si="60"/>
        <v>NXW</v>
      </c>
      <c r="E448" s="13" t="str">
        <f>VLOOKUP(D:D,工作表2!A:B,2,0)</f>
        <v>邦善</v>
      </c>
      <c r="F448" s="13" t="str">
        <f>VLOOKUP(D:D,工作表2!A:C,3,0)</f>
        <v>白</v>
      </c>
      <c r="G448" s="17">
        <v>10314959</v>
      </c>
      <c r="H448" s="17" t="s">
        <v>844</v>
      </c>
      <c r="I448" s="18" t="s">
        <v>857</v>
      </c>
      <c r="J448" s="15">
        <v>200</v>
      </c>
      <c r="K448" s="15">
        <v>17</v>
      </c>
      <c r="L448" s="20">
        <f t="shared" si="61"/>
        <v>8.5000000000000006E-2</v>
      </c>
      <c r="M448" s="12">
        <v>13</v>
      </c>
      <c r="N448" s="12">
        <v>4</v>
      </c>
      <c r="P448" s="32" t="s">
        <v>865</v>
      </c>
      <c r="Q448" s="23"/>
    </row>
    <row r="449" spans="1:17" ht="16.5">
      <c r="A449" s="25">
        <v>46076</v>
      </c>
      <c r="B449" s="29">
        <v>0.53125</v>
      </c>
      <c r="C449" s="11">
        <v>46079</v>
      </c>
      <c r="D449" s="24" t="str">
        <f t="shared" ref="D449:D458" si="62">RIGHT(I449,3)</f>
        <v>PLB</v>
      </c>
      <c r="E449" s="13" t="str">
        <f>VLOOKUP(D:D,工作表2!A:B,2,0)</f>
        <v>邦善</v>
      </c>
      <c r="F449" s="13" t="str">
        <f>VLOOKUP(D:D,工作表2!A:C,3,0)</f>
        <v>霧面黑</v>
      </c>
      <c r="G449" s="17">
        <v>10317921</v>
      </c>
      <c r="H449" s="17" t="s">
        <v>408</v>
      </c>
      <c r="I449" s="18" t="s">
        <v>411</v>
      </c>
      <c r="J449" s="15">
        <v>1596</v>
      </c>
      <c r="K449" s="15">
        <v>43</v>
      </c>
      <c r="L449" s="20">
        <f t="shared" ref="L449:L458" si="63">K449/J449</f>
        <v>2.6942355889724309E-2</v>
      </c>
      <c r="M449" s="12">
        <v>36</v>
      </c>
      <c r="N449" s="12">
        <v>7</v>
      </c>
      <c r="P449" s="32" t="s">
        <v>500</v>
      </c>
      <c r="Q449" s="23"/>
    </row>
    <row r="450" spans="1:17" ht="16.5">
      <c r="A450" s="25">
        <v>46077</v>
      </c>
      <c r="B450" s="29">
        <v>0.40763888888888888</v>
      </c>
      <c r="C450" s="19">
        <v>46079</v>
      </c>
      <c r="D450" s="24" t="str">
        <f t="shared" si="62"/>
        <v>QRB</v>
      </c>
      <c r="E450" s="13" t="str">
        <f>VLOOKUP(D:D,工作表2!A:B,2,0)</f>
        <v>邦善</v>
      </c>
      <c r="F450" s="13" t="str">
        <f>VLOOKUP(D:D,工作表2!A:C,3,0)</f>
        <v>霧面黑</v>
      </c>
      <c r="G450" s="17">
        <v>10312408</v>
      </c>
      <c r="H450" s="17" t="s">
        <v>170</v>
      </c>
      <c r="I450" s="18" t="s">
        <v>171</v>
      </c>
      <c r="J450" s="15">
        <v>5852</v>
      </c>
      <c r="K450" s="15">
        <v>255</v>
      </c>
      <c r="L450" s="20">
        <f t="shared" si="63"/>
        <v>4.3574846206425155E-2</v>
      </c>
      <c r="M450" s="12">
        <v>220</v>
      </c>
      <c r="N450" s="12">
        <v>32</v>
      </c>
      <c r="O450" s="15">
        <v>3</v>
      </c>
      <c r="P450" s="32" t="s">
        <v>500</v>
      </c>
      <c r="Q450" s="23"/>
    </row>
    <row r="451" spans="1:17" ht="16.5">
      <c r="A451" s="25">
        <v>46078</v>
      </c>
      <c r="B451" s="29">
        <v>0.87222222222222223</v>
      </c>
      <c r="C451" s="19">
        <v>46079</v>
      </c>
      <c r="D451" s="24" t="str">
        <f t="shared" si="62"/>
        <v>TXA</v>
      </c>
      <c r="E451" s="13" t="str">
        <f>VLOOKUP(D:D,工作表2!A:B,2,0)</f>
        <v>邦善</v>
      </c>
      <c r="F451" s="13" t="str">
        <f>VLOOKUP(D:D,工作表2!A:C,3,0)</f>
        <v>灰</v>
      </c>
      <c r="G451" s="17">
        <v>10312422</v>
      </c>
      <c r="H451" s="17" t="s">
        <v>520</v>
      </c>
      <c r="I451" s="18" t="s">
        <v>532</v>
      </c>
      <c r="J451" s="15">
        <v>5320</v>
      </c>
      <c r="K451" s="15">
        <v>186</v>
      </c>
      <c r="L451" s="20">
        <f t="shared" si="63"/>
        <v>3.4962406015037591E-2</v>
      </c>
      <c r="M451" s="12">
        <v>150</v>
      </c>
      <c r="N451" s="12">
        <v>36</v>
      </c>
      <c r="P451" s="32" t="s">
        <v>500</v>
      </c>
      <c r="Q451" s="23"/>
    </row>
    <row r="452" spans="1:17" ht="16.5">
      <c r="A452" s="25">
        <v>46078</v>
      </c>
      <c r="B452" s="29">
        <v>0.4284722222222222</v>
      </c>
      <c r="C452" s="19">
        <v>46079</v>
      </c>
      <c r="D452" s="24" t="str">
        <f t="shared" si="62"/>
        <v>TZB</v>
      </c>
      <c r="E452" s="13" t="str">
        <f>VLOOKUP(D:D,工作表2!A:B,2,0)</f>
        <v>邦善</v>
      </c>
      <c r="F452" s="13" t="str">
        <f>VLOOKUP(D:D,工作表2!A:C,3,0)</f>
        <v>黑</v>
      </c>
      <c r="G452" s="17">
        <v>10312420</v>
      </c>
      <c r="H452" s="17" t="s">
        <v>644</v>
      </c>
      <c r="I452" s="18" t="s">
        <v>654</v>
      </c>
      <c r="J452" s="15">
        <v>6650</v>
      </c>
      <c r="K452" s="15">
        <v>325</v>
      </c>
      <c r="L452" s="20">
        <f t="shared" si="63"/>
        <v>4.8872180451127817E-2</v>
      </c>
      <c r="M452" s="12">
        <v>313</v>
      </c>
      <c r="N452" s="12">
        <v>12</v>
      </c>
      <c r="P452" s="32" t="s">
        <v>500</v>
      </c>
      <c r="Q452" s="23"/>
    </row>
    <row r="453" spans="1:17" ht="16.5">
      <c r="A453" s="25">
        <v>46078</v>
      </c>
      <c r="B453" s="29">
        <v>0.42222222222222222</v>
      </c>
      <c r="C453" s="19">
        <v>46079</v>
      </c>
      <c r="D453" s="24" t="str">
        <f t="shared" si="62"/>
        <v>X7W</v>
      </c>
      <c r="E453" s="13" t="str">
        <f>VLOOKUP(D:D,工作表2!A:B,2,0)</f>
        <v>邦善</v>
      </c>
      <c r="F453" s="13" t="str">
        <f>VLOOKUP(D:D,工作表2!A:C,3,0)</f>
        <v>白</v>
      </c>
      <c r="G453" s="17">
        <v>10312426</v>
      </c>
      <c r="H453" s="17" t="s">
        <v>866</v>
      </c>
      <c r="I453" s="18" t="s">
        <v>868</v>
      </c>
      <c r="J453" s="15">
        <v>532</v>
      </c>
      <c r="K453" s="15">
        <v>36</v>
      </c>
      <c r="L453" s="20">
        <f t="shared" si="63"/>
        <v>6.7669172932330823E-2</v>
      </c>
      <c r="M453" s="12">
        <v>32</v>
      </c>
      <c r="N453" s="12">
        <v>4</v>
      </c>
      <c r="P453" s="32" t="s">
        <v>500</v>
      </c>
      <c r="Q453" s="23"/>
    </row>
    <row r="454" spans="1:17" ht="16.5">
      <c r="A454" s="25">
        <v>46078</v>
      </c>
      <c r="B454" s="29">
        <v>0.45347222222222222</v>
      </c>
      <c r="C454" s="19">
        <v>46079</v>
      </c>
      <c r="D454" s="24" t="str">
        <f t="shared" si="62"/>
        <v>X8A</v>
      </c>
      <c r="E454" s="13" t="str">
        <f>VLOOKUP(D:D,工作表2!A:B,2,0)</f>
        <v>邦善</v>
      </c>
      <c r="F454" s="13" t="str">
        <f>VLOOKUP(D:D,工作表2!A:C,3,0)</f>
        <v>灰</v>
      </c>
      <c r="G454" s="17">
        <v>10312427</v>
      </c>
      <c r="H454" s="17" t="s">
        <v>494</v>
      </c>
      <c r="I454" s="18" t="s">
        <v>495</v>
      </c>
      <c r="J454" s="15">
        <v>532</v>
      </c>
      <c r="K454" s="15">
        <v>48</v>
      </c>
      <c r="L454" s="20">
        <f t="shared" si="63"/>
        <v>9.0225563909774431E-2</v>
      </c>
      <c r="M454" s="12">
        <v>30</v>
      </c>
      <c r="N454" s="12">
        <v>18</v>
      </c>
      <c r="P454" s="32" t="s">
        <v>500</v>
      </c>
      <c r="Q454" s="23"/>
    </row>
    <row r="455" spans="1:17" ht="16.5">
      <c r="A455" s="25">
        <v>46077</v>
      </c>
      <c r="B455" s="29">
        <v>0.55763888888888891</v>
      </c>
      <c r="C455" s="19">
        <v>46079</v>
      </c>
      <c r="D455" s="24" t="str">
        <f t="shared" si="62"/>
        <v>NRR</v>
      </c>
      <c r="E455" s="13" t="str">
        <f>VLOOKUP(D:D,工作表2!A:B,2,0)</f>
        <v>邦善</v>
      </c>
      <c r="F455" s="13" t="str">
        <f>VLOOKUP(D:D,工作表2!A:C,3,0)</f>
        <v>紅</v>
      </c>
      <c r="G455" s="17">
        <v>10313177</v>
      </c>
      <c r="H455" s="17" t="s">
        <v>867</v>
      </c>
      <c r="I455" s="18" t="s">
        <v>869</v>
      </c>
      <c r="J455" s="15">
        <v>360</v>
      </c>
      <c r="K455" s="15">
        <v>28</v>
      </c>
      <c r="L455" s="20">
        <f t="shared" si="63"/>
        <v>7.7777777777777779E-2</v>
      </c>
      <c r="M455" s="12">
        <v>17</v>
      </c>
      <c r="N455" s="12">
        <v>11</v>
      </c>
      <c r="P455" s="32" t="s">
        <v>500</v>
      </c>
      <c r="Q455" s="23" t="s">
        <v>962</v>
      </c>
    </row>
    <row r="456" spans="1:17" ht="16.5">
      <c r="A456" s="25">
        <v>46065</v>
      </c>
      <c r="B456" s="29">
        <v>0.53055555555555556</v>
      </c>
      <c r="C456" s="19">
        <v>46079</v>
      </c>
      <c r="D456" s="24" t="str">
        <f t="shared" si="62"/>
        <v>NGW</v>
      </c>
      <c r="E456" s="13" t="str">
        <f>VLOOKUP(D:D,工作表2!A:B,2,0)</f>
        <v>邦善</v>
      </c>
      <c r="F456" s="13" t="str">
        <f>VLOOKUP(D:D,工作表2!A:C,3,0)</f>
        <v>白</v>
      </c>
      <c r="G456" s="17">
        <v>10313182</v>
      </c>
      <c r="H456" s="17" t="s">
        <v>566</v>
      </c>
      <c r="I456" s="18" t="s">
        <v>574</v>
      </c>
      <c r="J456" s="15">
        <v>440</v>
      </c>
      <c r="K456" s="15">
        <v>24</v>
      </c>
      <c r="L456" s="20">
        <f t="shared" si="63"/>
        <v>5.4545454545454543E-2</v>
      </c>
      <c r="M456" s="12">
        <v>21</v>
      </c>
      <c r="N456" s="12">
        <v>3</v>
      </c>
      <c r="P456" s="32" t="s">
        <v>500</v>
      </c>
      <c r="Q456" s="23" t="s">
        <v>963</v>
      </c>
    </row>
    <row r="457" spans="1:17" ht="16.5">
      <c r="A457" s="25">
        <v>46078</v>
      </c>
      <c r="B457" s="29">
        <v>0.5229166666666667</v>
      </c>
      <c r="C457" s="19">
        <v>46079</v>
      </c>
      <c r="D457" s="24" t="str">
        <f t="shared" si="62"/>
        <v>RCA</v>
      </c>
      <c r="E457" s="13" t="str">
        <f>VLOOKUP(D:D,工作表2!A:B,2,0)</f>
        <v>邦善</v>
      </c>
      <c r="F457" s="13" t="str">
        <f>VLOOKUP(D:D,工作表2!A:C,3,0)</f>
        <v>灰</v>
      </c>
      <c r="G457" s="17">
        <v>10319678</v>
      </c>
      <c r="H457" s="17" t="s">
        <v>744</v>
      </c>
      <c r="I457" s="18" t="s">
        <v>747</v>
      </c>
      <c r="J457" s="15">
        <v>80</v>
      </c>
      <c r="K457" s="15">
        <v>3</v>
      </c>
      <c r="L457" s="20">
        <f t="shared" si="63"/>
        <v>3.7499999999999999E-2</v>
      </c>
      <c r="M457" s="12">
        <v>3</v>
      </c>
      <c r="P457" s="32" t="s">
        <v>500</v>
      </c>
      <c r="Q457" s="23" t="s">
        <v>963</v>
      </c>
    </row>
    <row r="458" spans="1:17" ht="16.5">
      <c r="A458" s="25">
        <v>46065</v>
      </c>
      <c r="B458" s="29">
        <v>0.47500000000000003</v>
      </c>
      <c r="C458" s="19">
        <v>46079</v>
      </c>
      <c r="D458" s="24" t="str">
        <f t="shared" si="62"/>
        <v>NGW</v>
      </c>
      <c r="E458" s="13" t="str">
        <f>VLOOKUP(D:D,工作表2!A:B,2,0)</f>
        <v>邦善</v>
      </c>
      <c r="F458" s="13" t="str">
        <f>VLOOKUP(D:D,工作表2!A:C,3,0)</f>
        <v>白</v>
      </c>
      <c r="G458" s="17">
        <v>10313183</v>
      </c>
      <c r="H458" s="17" t="s">
        <v>425</v>
      </c>
      <c r="I458" s="18" t="s">
        <v>430</v>
      </c>
      <c r="J458" s="15">
        <v>600</v>
      </c>
      <c r="K458" s="15">
        <v>23</v>
      </c>
      <c r="L458" s="20">
        <f t="shared" si="63"/>
        <v>3.833333333333333E-2</v>
      </c>
      <c r="M458" s="12">
        <v>20</v>
      </c>
      <c r="N458" s="12">
        <v>3</v>
      </c>
      <c r="P458" s="32" t="s">
        <v>500</v>
      </c>
      <c r="Q458" s="23" t="s">
        <v>962</v>
      </c>
    </row>
    <row r="459" spans="1:17" ht="16.5">
      <c r="A459" s="25">
        <v>46079</v>
      </c>
      <c r="B459" s="29">
        <v>0.41805555555555557</v>
      </c>
      <c r="C459" s="11">
        <v>46083</v>
      </c>
      <c r="D459" s="24" t="str">
        <f t="shared" ref="D459:D471" si="64">RIGHT(I459,3)</f>
        <v>QSB</v>
      </c>
      <c r="E459" s="13" t="str">
        <f>VLOOKUP(D:D,工作表2!A:B,2,0)</f>
        <v>邦善</v>
      </c>
      <c r="F459" s="13" t="str">
        <f>VLOOKUP(D:D,工作表2!A:C,3,0)</f>
        <v>黑</v>
      </c>
      <c r="G459" s="17">
        <v>10317641</v>
      </c>
      <c r="H459" s="17" t="s">
        <v>583</v>
      </c>
      <c r="I459" s="18" t="s">
        <v>587</v>
      </c>
      <c r="J459" s="15">
        <v>16492</v>
      </c>
      <c r="K459" s="15">
        <v>1265</v>
      </c>
      <c r="L459" s="20">
        <f t="shared" ref="L459:L471" si="65">K459/J459</f>
        <v>7.6703856415231628E-2</v>
      </c>
      <c r="M459" s="12">
        <v>1058</v>
      </c>
      <c r="N459" s="12">
        <v>207</v>
      </c>
      <c r="P459" s="32" t="s">
        <v>500</v>
      </c>
      <c r="Q459" s="23"/>
    </row>
    <row r="460" spans="1:17" ht="16.5">
      <c r="A460" s="25">
        <v>46079</v>
      </c>
      <c r="B460" s="29">
        <v>0.3923611111111111</v>
      </c>
      <c r="C460" s="19">
        <v>46083</v>
      </c>
      <c r="D460" s="24" t="str">
        <f t="shared" si="64"/>
        <v>QSB</v>
      </c>
      <c r="E460" s="13" t="str">
        <f>VLOOKUP(D:D,工作表2!A:B,2,0)</f>
        <v>邦善</v>
      </c>
      <c r="F460" s="13" t="str">
        <f>VLOOKUP(D:D,工作表2!A:C,3,0)</f>
        <v>黑</v>
      </c>
      <c r="G460" s="17">
        <v>10312405</v>
      </c>
      <c r="H460" s="17" t="s">
        <v>583</v>
      </c>
      <c r="I460" s="18" t="s">
        <v>587</v>
      </c>
      <c r="J460" s="15">
        <v>7448</v>
      </c>
      <c r="K460" s="15">
        <v>449</v>
      </c>
      <c r="L460" s="20">
        <f t="shared" si="65"/>
        <v>6.0284640171858216E-2</v>
      </c>
      <c r="M460" s="12">
        <v>404</v>
      </c>
      <c r="N460" s="12">
        <v>45</v>
      </c>
      <c r="P460" s="32" t="s">
        <v>500</v>
      </c>
      <c r="Q460" s="23"/>
    </row>
    <row r="461" spans="1:17" ht="16.5">
      <c r="A461" s="25">
        <v>46066</v>
      </c>
      <c r="B461" s="29">
        <v>0.38819444444444445</v>
      </c>
      <c r="C461" s="19">
        <v>46083</v>
      </c>
      <c r="D461" s="24" t="str">
        <f t="shared" si="64"/>
        <v>05W</v>
      </c>
      <c r="E461" s="13" t="str">
        <f>VLOOKUP(D:D,工作表2!A:B,2,0)</f>
        <v>邦善</v>
      </c>
      <c r="F461" s="13" t="str">
        <f>VLOOKUP(D:D,工作表2!A:C,3,0)</f>
        <v>白</v>
      </c>
      <c r="G461" s="17">
        <v>10317829</v>
      </c>
      <c r="H461" s="17" t="s">
        <v>760</v>
      </c>
      <c r="I461" s="18" t="s">
        <v>765</v>
      </c>
      <c r="J461" s="15">
        <v>72</v>
      </c>
      <c r="K461" s="15">
        <v>7</v>
      </c>
      <c r="L461" s="20">
        <f t="shared" si="65"/>
        <v>9.7222222222222224E-2</v>
      </c>
      <c r="M461" s="12">
        <v>5</v>
      </c>
      <c r="N461" s="12">
        <v>2</v>
      </c>
      <c r="P461" s="32" t="s">
        <v>500</v>
      </c>
      <c r="Q461" s="23"/>
    </row>
    <row r="462" spans="1:17" ht="16.5">
      <c r="A462" s="25">
        <v>46066</v>
      </c>
      <c r="B462" s="29">
        <v>0.38611111111111113</v>
      </c>
      <c r="C462" s="19">
        <v>46083</v>
      </c>
      <c r="D462" s="24" t="str">
        <f t="shared" si="64"/>
        <v>75W</v>
      </c>
      <c r="E462" s="13" t="str">
        <f>VLOOKUP(D:D,工作表2!A:B,2,0)</f>
        <v>敦陽</v>
      </c>
      <c r="F462" s="13" t="str">
        <f>VLOOKUP(D:D,工作表2!A:C,3,0)</f>
        <v>白</v>
      </c>
      <c r="G462" s="17">
        <v>10316413</v>
      </c>
      <c r="H462" s="17" t="s">
        <v>419</v>
      </c>
      <c r="I462" s="18" t="s">
        <v>422</v>
      </c>
      <c r="J462" s="15">
        <v>72</v>
      </c>
      <c r="K462" s="15">
        <v>5</v>
      </c>
      <c r="L462" s="20">
        <f t="shared" si="65"/>
        <v>6.9444444444444448E-2</v>
      </c>
      <c r="M462" s="12">
        <v>4</v>
      </c>
      <c r="N462" s="12">
        <v>1</v>
      </c>
      <c r="P462" s="32" t="s">
        <v>500</v>
      </c>
      <c r="Q462" s="23"/>
    </row>
    <row r="463" spans="1:17" ht="16.5">
      <c r="A463" s="25">
        <v>46066</v>
      </c>
      <c r="B463" s="29">
        <v>0.39027777777777778</v>
      </c>
      <c r="C463" s="19">
        <v>46083</v>
      </c>
      <c r="D463" s="24" t="str">
        <f t="shared" si="64"/>
        <v>MXS</v>
      </c>
      <c r="E463" s="13" t="str">
        <f>VLOOKUP(D:D,工作表2!A:B,2,0)</f>
        <v>邦善</v>
      </c>
      <c r="F463" s="13" t="str">
        <f>VLOOKUP(D:D,工作表2!A:C,3,0)</f>
        <v>銀</v>
      </c>
      <c r="G463" s="17">
        <v>10317922</v>
      </c>
      <c r="H463" s="17" t="s">
        <v>873</v>
      </c>
      <c r="I463" s="18" t="s">
        <v>879</v>
      </c>
      <c r="J463" s="15">
        <v>72</v>
      </c>
      <c r="K463" s="15">
        <v>4</v>
      </c>
      <c r="L463" s="20">
        <f t="shared" si="65"/>
        <v>5.5555555555555552E-2</v>
      </c>
      <c r="M463" s="12">
        <v>4</v>
      </c>
      <c r="P463" s="32" t="s">
        <v>500</v>
      </c>
      <c r="Q463" s="23"/>
    </row>
    <row r="464" spans="1:17" ht="16.5">
      <c r="A464" s="25">
        <v>46079</v>
      </c>
      <c r="B464" s="29">
        <v>0.37777777777777777</v>
      </c>
      <c r="C464" s="19">
        <v>46083</v>
      </c>
      <c r="D464" s="24" t="str">
        <f t="shared" si="64"/>
        <v>N8B</v>
      </c>
      <c r="E464" s="13" t="str">
        <f>VLOOKUP(D:D,工作表2!A:B,2,0)</f>
        <v>邦善</v>
      </c>
      <c r="F464" s="13" t="str">
        <f>VLOOKUP(D:D,工作表2!A:C,3,0)</f>
        <v>霧面黑</v>
      </c>
      <c r="G464" s="17">
        <v>10318565</v>
      </c>
      <c r="H464" s="17" t="s">
        <v>870</v>
      </c>
      <c r="I464" s="18" t="s">
        <v>876</v>
      </c>
      <c r="J464" s="15">
        <v>280</v>
      </c>
      <c r="K464" s="15">
        <v>11</v>
      </c>
      <c r="L464" s="20">
        <f t="shared" si="65"/>
        <v>3.9285714285714285E-2</v>
      </c>
      <c r="M464" s="12">
        <v>9</v>
      </c>
      <c r="N464" s="12">
        <v>2</v>
      </c>
      <c r="P464" s="32" t="s">
        <v>500</v>
      </c>
      <c r="Q464" s="23" t="s">
        <v>963</v>
      </c>
    </row>
    <row r="465" spans="1:17" ht="16.5">
      <c r="A465" s="25">
        <v>46079</v>
      </c>
      <c r="B465" s="29">
        <v>0.3840277777777778</v>
      </c>
      <c r="C465" s="19">
        <v>46083</v>
      </c>
      <c r="D465" s="24" t="str">
        <f t="shared" si="64"/>
        <v>N8B</v>
      </c>
      <c r="E465" s="13" t="str">
        <f>VLOOKUP(D:D,工作表2!A:B,2,0)</f>
        <v>邦善</v>
      </c>
      <c r="F465" s="13" t="str">
        <f>VLOOKUP(D:D,工作表2!A:C,3,0)</f>
        <v>霧面黑</v>
      </c>
      <c r="G465" s="17">
        <v>10318566</v>
      </c>
      <c r="H465" s="17" t="s">
        <v>871</v>
      </c>
      <c r="I465" s="18" t="s">
        <v>877</v>
      </c>
      <c r="J465" s="15">
        <v>280</v>
      </c>
      <c r="K465" s="15">
        <v>20</v>
      </c>
      <c r="L465" s="20">
        <f t="shared" si="65"/>
        <v>7.1428571428571425E-2</v>
      </c>
      <c r="M465" s="12">
        <v>14</v>
      </c>
      <c r="N465" s="12">
        <v>6</v>
      </c>
      <c r="P465" s="32" t="s">
        <v>500</v>
      </c>
      <c r="Q465" s="23" t="s">
        <v>962</v>
      </c>
    </row>
    <row r="466" spans="1:17" ht="16.5">
      <c r="A466" s="25">
        <v>46078</v>
      </c>
      <c r="B466" s="29">
        <v>0.52500000000000002</v>
      </c>
      <c r="C466" s="19">
        <v>46083</v>
      </c>
      <c r="D466" s="24" t="str">
        <f t="shared" si="64"/>
        <v>RCA</v>
      </c>
      <c r="E466" s="13" t="str">
        <f>VLOOKUP(D:D,工作表2!A:B,2,0)</f>
        <v>邦善</v>
      </c>
      <c r="F466" s="13" t="str">
        <f>VLOOKUP(D:D,工作表2!A:C,3,0)</f>
        <v>灰</v>
      </c>
      <c r="G466" s="17">
        <v>10313184</v>
      </c>
      <c r="H466" s="17" t="s">
        <v>872</v>
      </c>
      <c r="I466" s="18" t="s">
        <v>878</v>
      </c>
      <c r="J466" s="15">
        <v>560</v>
      </c>
      <c r="K466" s="15">
        <v>37</v>
      </c>
      <c r="L466" s="20">
        <f t="shared" si="65"/>
        <v>6.6071428571428573E-2</v>
      </c>
      <c r="M466" s="12">
        <v>33</v>
      </c>
      <c r="N466" s="12">
        <v>4</v>
      </c>
      <c r="P466" s="32" t="s">
        <v>500</v>
      </c>
      <c r="Q466" s="23" t="s">
        <v>962</v>
      </c>
    </row>
    <row r="467" spans="1:17" ht="16.5">
      <c r="A467" s="25">
        <v>46077</v>
      </c>
      <c r="B467" s="29">
        <v>0.64583333333333337</v>
      </c>
      <c r="C467" s="19">
        <v>46083</v>
      </c>
      <c r="D467" s="24" t="str">
        <f t="shared" si="64"/>
        <v>QFA</v>
      </c>
      <c r="E467" s="13" t="str">
        <f>VLOOKUP(D:D,工作表2!A:B,2,0)</f>
        <v>邦善</v>
      </c>
      <c r="F467" s="13" t="str">
        <f>VLOOKUP(D:D,工作表2!A:C,3,0)</f>
        <v>灰</v>
      </c>
      <c r="G467" s="17">
        <v>10313193</v>
      </c>
      <c r="H467" s="17" t="s">
        <v>752</v>
      </c>
      <c r="I467" s="18" t="s">
        <v>755</v>
      </c>
      <c r="J467" s="15">
        <v>800</v>
      </c>
      <c r="K467" s="15">
        <v>55</v>
      </c>
      <c r="L467" s="20">
        <f t="shared" si="65"/>
        <v>6.8750000000000006E-2</v>
      </c>
      <c r="M467" s="12">
        <v>48</v>
      </c>
      <c r="N467" s="12">
        <v>7</v>
      </c>
      <c r="P467" s="32" t="s">
        <v>500</v>
      </c>
      <c r="Q467" s="23"/>
    </row>
    <row r="468" spans="1:17" ht="16.5">
      <c r="A468" s="25">
        <v>46077</v>
      </c>
      <c r="B468" s="29">
        <v>0.37986111111111115</v>
      </c>
      <c r="C468" s="19">
        <v>46083</v>
      </c>
      <c r="D468" s="24" t="str">
        <f t="shared" si="64"/>
        <v>Q9B</v>
      </c>
      <c r="E468" s="13" t="str">
        <f>VLOOKUP(D:D,工作表2!A:B,2,0)</f>
        <v>邦善</v>
      </c>
      <c r="F468" s="13" t="str">
        <f>VLOOKUP(D:D,工作表2!A:C,3,0)</f>
        <v>黑</v>
      </c>
      <c r="G468" s="17">
        <v>10313198</v>
      </c>
      <c r="H468" s="17" t="s">
        <v>631</v>
      </c>
      <c r="I468" s="18" t="s">
        <v>637</v>
      </c>
      <c r="J468" s="15">
        <v>880</v>
      </c>
      <c r="K468" s="15">
        <v>131</v>
      </c>
      <c r="L468" s="20">
        <f t="shared" si="65"/>
        <v>0.14886363636363636</v>
      </c>
      <c r="M468" s="12">
        <v>87</v>
      </c>
      <c r="N468" s="12">
        <v>44</v>
      </c>
      <c r="P468" s="32" t="s">
        <v>500</v>
      </c>
      <c r="Q468" s="23" t="s">
        <v>962</v>
      </c>
    </row>
    <row r="469" spans="1:17" ht="16.5">
      <c r="A469" s="25">
        <v>46066</v>
      </c>
      <c r="B469" s="29">
        <v>0.37152777777777773</v>
      </c>
      <c r="C469" s="19">
        <v>46083</v>
      </c>
      <c r="D469" s="24" t="str">
        <f t="shared" si="64"/>
        <v>05W</v>
      </c>
      <c r="E469" s="13" t="str">
        <f>VLOOKUP(D:D,工作表2!A:B,2,0)</f>
        <v>邦善</v>
      </c>
      <c r="F469" s="13" t="str">
        <f>VLOOKUP(D:D,工作表2!A:C,3,0)</f>
        <v>白</v>
      </c>
      <c r="G469" s="17">
        <v>10317824</v>
      </c>
      <c r="H469" s="17" t="s">
        <v>875</v>
      </c>
      <c r="I469" s="18" t="s">
        <v>881</v>
      </c>
      <c r="J469" s="15">
        <v>134</v>
      </c>
      <c r="K469" s="15">
        <v>14</v>
      </c>
      <c r="L469" s="20">
        <f t="shared" si="65"/>
        <v>0.1044776119402985</v>
      </c>
      <c r="M469" s="12">
        <v>12</v>
      </c>
      <c r="N469" s="12">
        <v>2</v>
      </c>
      <c r="P469" s="32" t="s">
        <v>500</v>
      </c>
      <c r="Q469" s="23" t="s">
        <v>961</v>
      </c>
    </row>
    <row r="470" spans="1:17" ht="16.5">
      <c r="A470" s="25">
        <v>46066</v>
      </c>
      <c r="B470" s="29">
        <v>0.37083333333333335</v>
      </c>
      <c r="C470" s="19">
        <v>46083</v>
      </c>
      <c r="D470" s="24" t="str">
        <f t="shared" si="64"/>
        <v>75W</v>
      </c>
      <c r="E470" s="13" t="str">
        <f>VLOOKUP(D:D,工作表2!A:B,2,0)</f>
        <v>敦陽</v>
      </c>
      <c r="F470" s="13" t="str">
        <f>VLOOKUP(D:D,工作表2!A:C,3,0)</f>
        <v>白</v>
      </c>
      <c r="G470" s="17">
        <v>10317809</v>
      </c>
      <c r="H470" s="17" t="s">
        <v>427</v>
      </c>
      <c r="I470" s="18" t="s">
        <v>432</v>
      </c>
      <c r="J470" s="15">
        <v>134</v>
      </c>
      <c r="K470" s="15">
        <v>13</v>
      </c>
      <c r="L470" s="20">
        <f t="shared" si="65"/>
        <v>9.7014925373134331E-2</v>
      </c>
      <c r="M470" s="12">
        <v>10</v>
      </c>
      <c r="N470" s="12">
        <v>3</v>
      </c>
      <c r="P470" s="32" t="s">
        <v>500</v>
      </c>
      <c r="Q470" s="23" t="s">
        <v>961</v>
      </c>
    </row>
    <row r="471" spans="1:17" ht="16.5">
      <c r="A471" s="25">
        <v>46066</v>
      </c>
      <c r="B471" s="29">
        <v>0.37222222222222223</v>
      </c>
      <c r="C471" s="19">
        <v>46083</v>
      </c>
      <c r="D471" s="24" t="str">
        <f t="shared" si="64"/>
        <v>MXS</v>
      </c>
      <c r="E471" s="13" t="str">
        <f>VLOOKUP(D:D,工作表2!A:B,2,0)</f>
        <v>邦善</v>
      </c>
      <c r="F471" s="13" t="str">
        <f>VLOOKUP(D:D,工作表2!A:C,3,0)</f>
        <v>銀</v>
      </c>
      <c r="G471" s="17">
        <v>10317825</v>
      </c>
      <c r="H471" s="17" t="s">
        <v>874</v>
      </c>
      <c r="I471" s="18" t="s">
        <v>880</v>
      </c>
      <c r="J471" s="15">
        <v>134</v>
      </c>
      <c r="K471" s="15">
        <v>8</v>
      </c>
      <c r="L471" s="20">
        <f t="shared" si="65"/>
        <v>5.9701492537313432E-2</v>
      </c>
      <c r="M471" s="12">
        <v>6</v>
      </c>
      <c r="N471" s="12">
        <v>2</v>
      </c>
      <c r="P471" s="32" t="s">
        <v>500</v>
      </c>
      <c r="Q471" s="23" t="s">
        <v>961</v>
      </c>
    </row>
    <row r="472" spans="1:17" ht="16.5">
      <c r="A472" s="25">
        <v>46083</v>
      </c>
      <c r="B472" s="29">
        <v>0.4465277777777778</v>
      </c>
      <c r="C472" s="11">
        <v>46084</v>
      </c>
      <c r="D472" s="24" t="str">
        <f t="shared" ref="D472:D479" si="66">RIGHT(I472,3)</f>
        <v>QSB</v>
      </c>
      <c r="E472" s="13" t="str">
        <f>VLOOKUP(D:D,工作表2!A:B,2,0)</f>
        <v>邦善</v>
      </c>
      <c r="F472" s="13" t="str">
        <f>VLOOKUP(D:D,工作表2!A:C,3,0)</f>
        <v>黑</v>
      </c>
      <c r="G472" s="17">
        <v>10317643</v>
      </c>
      <c r="H472" s="17" t="s">
        <v>583</v>
      </c>
      <c r="I472" s="18" t="s">
        <v>587</v>
      </c>
      <c r="J472" s="15">
        <v>16492</v>
      </c>
      <c r="K472" s="15">
        <v>623</v>
      </c>
      <c r="L472" s="20">
        <f t="shared" ref="L472:L479" si="67">K472/J472</f>
        <v>3.7775891341256369E-2</v>
      </c>
      <c r="M472" s="12">
        <v>463</v>
      </c>
      <c r="N472" s="12">
        <v>160</v>
      </c>
      <c r="P472" s="32" t="s">
        <v>500</v>
      </c>
      <c r="Q472" s="23"/>
    </row>
    <row r="473" spans="1:17" ht="16.5">
      <c r="A473" s="25">
        <v>46083</v>
      </c>
      <c r="B473" s="29">
        <v>0.56944444444444442</v>
      </c>
      <c r="C473" s="11">
        <v>46084</v>
      </c>
      <c r="D473" s="24" t="str">
        <f t="shared" si="66"/>
        <v>QUW</v>
      </c>
      <c r="E473" s="13" t="str">
        <f>VLOOKUP(D:D,工作表2!A:B,2,0)</f>
        <v>邦善</v>
      </c>
      <c r="F473" s="13" t="str">
        <f>VLOOKUP(D:D,工作表2!A:C,3,0)</f>
        <v>白</v>
      </c>
      <c r="G473" s="17">
        <v>10312388</v>
      </c>
      <c r="H473" s="17" t="s">
        <v>634</v>
      </c>
      <c r="I473" s="18" t="s">
        <v>640</v>
      </c>
      <c r="J473" s="15">
        <v>3990</v>
      </c>
      <c r="K473" s="15">
        <v>248</v>
      </c>
      <c r="L473" s="20">
        <f t="shared" si="67"/>
        <v>6.2155388471177943E-2</v>
      </c>
      <c r="M473" s="12">
        <v>210</v>
      </c>
      <c r="N473" s="12">
        <v>38</v>
      </c>
      <c r="P473" s="32" t="s">
        <v>500</v>
      </c>
      <c r="Q473" s="23"/>
    </row>
    <row r="474" spans="1:17" ht="16.5">
      <c r="A474" s="25">
        <v>46083</v>
      </c>
      <c r="B474" s="29">
        <v>0.58472222222222225</v>
      </c>
      <c r="C474" s="19">
        <v>46084</v>
      </c>
      <c r="D474" s="24" t="str">
        <f t="shared" si="66"/>
        <v>QUW</v>
      </c>
      <c r="E474" s="13" t="str">
        <f>VLOOKUP(D:D,工作表2!A:B,2,0)</f>
        <v>邦善</v>
      </c>
      <c r="F474" s="13" t="str">
        <f>VLOOKUP(D:D,工作表2!A:C,3,0)</f>
        <v>白</v>
      </c>
      <c r="G474" s="17">
        <v>10317642</v>
      </c>
      <c r="H474" s="17" t="s">
        <v>634</v>
      </c>
      <c r="I474" s="18" t="s">
        <v>640</v>
      </c>
      <c r="J474" s="15">
        <v>6916</v>
      </c>
      <c r="K474" s="15">
        <v>366</v>
      </c>
      <c r="L474" s="20">
        <f t="shared" si="67"/>
        <v>5.2920763447079237E-2</v>
      </c>
      <c r="M474" s="12">
        <v>290</v>
      </c>
      <c r="N474" s="12">
        <v>76</v>
      </c>
      <c r="P474" s="32" t="s">
        <v>500</v>
      </c>
      <c r="Q474" s="23"/>
    </row>
    <row r="475" spans="1:17" ht="16.5">
      <c r="A475" s="25">
        <v>46083</v>
      </c>
      <c r="B475" s="29">
        <v>0.40763888888888888</v>
      </c>
      <c r="C475" s="19">
        <v>46084</v>
      </c>
      <c r="D475" s="24" t="str">
        <f t="shared" si="66"/>
        <v>S3B</v>
      </c>
      <c r="E475" s="13" t="str">
        <f>VLOOKUP(D:D,工作表2!A:B,2,0)</f>
        <v>邦善</v>
      </c>
      <c r="F475" s="13" t="str">
        <f>VLOOKUP(D:D,工作表2!A:C,3,0)</f>
        <v>黑</v>
      </c>
      <c r="G475" s="17">
        <v>10317640</v>
      </c>
      <c r="H475" s="17" t="s">
        <v>375</v>
      </c>
      <c r="I475" s="18" t="s">
        <v>379</v>
      </c>
      <c r="J475" s="15">
        <v>8512</v>
      </c>
      <c r="K475" s="15">
        <v>399</v>
      </c>
      <c r="L475" s="20">
        <f t="shared" si="67"/>
        <v>4.6875E-2</v>
      </c>
      <c r="M475" s="12">
        <v>300</v>
      </c>
      <c r="N475" s="12">
        <v>99</v>
      </c>
      <c r="P475" s="32" t="s">
        <v>500</v>
      </c>
      <c r="Q475" s="23"/>
    </row>
    <row r="476" spans="1:17" ht="16.5">
      <c r="A476" s="25">
        <v>46083</v>
      </c>
      <c r="B476" s="29">
        <v>0.55902777777777779</v>
      </c>
      <c r="C476" s="19">
        <v>46084</v>
      </c>
      <c r="D476" s="24" t="str">
        <f t="shared" si="66"/>
        <v>S8A</v>
      </c>
      <c r="E476" s="13" t="str">
        <f>VLOOKUP(D:D,工作表2!A:B,2,0)</f>
        <v>邦善</v>
      </c>
      <c r="F476" s="13" t="str">
        <f>VLOOKUP(D:D,工作表2!A:C,3,0)</f>
        <v>灰</v>
      </c>
      <c r="G476" s="17">
        <v>10317649</v>
      </c>
      <c r="H476" s="17" t="s">
        <v>612</v>
      </c>
      <c r="I476" s="18" t="s">
        <v>622</v>
      </c>
      <c r="J476" s="15">
        <v>2128</v>
      </c>
      <c r="K476" s="15">
        <v>75</v>
      </c>
      <c r="L476" s="20">
        <f t="shared" si="67"/>
        <v>3.5244360902255641E-2</v>
      </c>
      <c r="M476" s="12">
        <v>63</v>
      </c>
      <c r="N476" s="12">
        <v>12</v>
      </c>
      <c r="P476" s="32" t="s">
        <v>500</v>
      </c>
      <c r="Q476" s="23"/>
    </row>
    <row r="477" spans="1:17" ht="16.5">
      <c r="A477" s="25">
        <v>46076</v>
      </c>
      <c r="B477" s="29">
        <v>0.61458333333333337</v>
      </c>
      <c r="C477" s="19">
        <v>46084</v>
      </c>
      <c r="D477" s="24" t="str">
        <f t="shared" si="66"/>
        <v>NGW</v>
      </c>
      <c r="E477" s="13" t="str">
        <f>VLOOKUP(D:D,工作表2!A:B,2,0)</f>
        <v>邦善</v>
      </c>
      <c r="F477" s="13" t="str">
        <f>VLOOKUP(D:D,工作表2!A:C,3,0)</f>
        <v>白</v>
      </c>
      <c r="G477" s="17">
        <v>10313176</v>
      </c>
      <c r="H477" s="17" t="s">
        <v>882</v>
      </c>
      <c r="I477" s="18" t="s">
        <v>884</v>
      </c>
      <c r="J477" s="15">
        <v>720</v>
      </c>
      <c r="K477" s="15">
        <v>47</v>
      </c>
      <c r="L477" s="20">
        <f t="shared" si="67"/>
        <v>6.5277777777777782E-2</v>
      </c>
      <c r="M477" s="12">
        <v>30</v>
      </c>
      <c r="N477" s="12">
        <v>17</v>
      </c>
      <c r="P477" s="32" t="s">
        <v>500</v>
      </c>
      <c r="Q477" s="23" t="s">
        <v>962</v>
      </c>
    </row>
    <row r="478" spans="1:17" ht="16.5">
      <c r="A478" s="25">
        <v>46083</v>
      </c>
      <c r="C478" s="19">
        <v>46084</v>
      </c>
      <c r="D478" s="24" t="str">
        <f t="shared" si="66"/>
        <v>Q9B</v>
      </c>
      <c r="E478" s="13" t="str">
        <f>VLOOKUP(D:D,工作表2!A:B,2,0)</f>
        <v>邦善</v>
      </c>
      <c r="F478" s="13" t="str">
        <f>VLOOKUP(D:D,工作表2!A:C,3,0)</f>
        <v>黑</v>
      </c>
      <c r="G478" s="17">
        <v>10313200</v>
      </c>
      <c r="H478" s="17" t="s">
        <v>792</v>
      </c>
      <c r="I478" s="18" t="s">
        <v>798</v>
      </c>
      <c r="J478" s="15">
        <v>1120</v>
      </c>
      <c r="K478" s="15">
        <v>150</v>
      </c>
      <c r="L478" s="20">
        <f t="shared" si="67"/>
        <v>0.13392857142857142</v>
      </c>
      <c r="M478" s="12">
        <v>80</v>
      </c>
      <c r="N478" s="12">
        <v>70</v>
      </c>
      <c r="P478" s="32" t="s">
        <v>500</v>
      </c>
      <c r="Q478" s="23" t="s">
        <v>962</v>
      </c>
    </row>
    <row r="479" spans="1:17" ht="16.5">
      <c r="A479" s="25">
        <v>46076</v>
      </c>
      <c r="B479" s="29">
        <v>0.59791666666666665</v>
      </c>
      <c r="C479" s="19">
        <v>46084</v>
      </c>
      <c r="D479" s="24" t="str">
        <f t="shared" si="66"/>
        <v>39A</v>
      </c>
      <c r="E479" s="13" t="str">
        <f>VLOOKUP(D:D,工作表2!A:B,2,0)</f>
        <v>敦陽</v>
      </c>
      <c r="F479" s="13" t="str">
        <f>VLOOKUP(D:D,工作表2!A:C,3,0)</f>
        <v>灰</v>
      </c>
      <c r="G479" s="17">
        <v>10312041</v>
      </c>
      <c r="H479" s="17" t="s">
        <v>883</v>
      </c>
      <c r="I479" s="18" t="s">
        <v>885</v>
      </c>
      <c r="J479" s="15">
        <v>80</v>
      </c>
      <c r="K479" s="15">
        <v>5</v>
      </c>
      <c r="L479" s="20">
        <f t="shared" si="67"/>
        <v>6.25E-2</v>
      </c>
      <c r="M479" s="12">
        <v>3</v>
      </c>
      <c r="N479" s="12">
        <v>2</v>
      </c>
      <c r="P479" s="32" t="s">
        <v>500</v>
      </c>
      <c r="Q479" s="23"/>
    </row>
    <row r="480" spans="1:17" ht="16.5">
      <c r="A480" s="25">
        <v>46076</v>
      </c>
      <c r="B480" s="29">
        <v>0.63194444444444442</v>
      </c>
      <c r="C480" s="11">
        <v>46085</v>
      </c>
      <c r="D480" s="24" t="str">
        <f t="shared" ref="D480:D492" si="68">RIGHT(I480,3)</f>
        <v>RCA</v>
      </c>
      <c r="E480" s="13" t="str">
        <f>VLOOKUP(D:D,工作表2!A:B,2,0)</f>
        <v>邦善</v>
      </c>
      <c r="F480" s="13" t="str">
        <f>VLOOKUP(D:D,工作表2!A:C,3,0)</f>
        <v>灰</v>
      </c>
      <c r="G480" s="17">
        <v>10313163</v>
      </c>
      <c r="H480" s="17" t="s">
        <v>402</v>
      </c>
      <c r="I480" s="18" t="s">
        <v>404</v>
      </c>
      <c r="J480" s="15">
        <v>532</v>
      </c>
      <c r="K480" s="15">
        <v>44</v>
      </c>
      <c r="L480" s="20">
        <f t="shared" ref="L480:L492" si="69">K480/J480</f>
        <v>8.2706766917293228E-2</v>
      </c>
      <c r="M480" s="12">
        <v>24</v>
      </c>
      <c r="N480" s="12">
        <v>20</v>
      </c>
      <c r="P480" s="32" t="s">
        <v>500</v>
      </c>
      <c r="Q480" s="23"/>
    </row>
    <row r="481" spans="1:17">
      <c r="A481" s="25">
        <v>46084</v>
      </c>
      <c r="B481" s="29">
        <v>0.40069444444444446</v>
      </c>
      <c r="C481" s="11">
        <v>46085</v>
      </c>
      <c r="D481" s="24" t="str">
        <f t="shared" si="68"/>
        <v>QRB</v>
      </c>
      <c r="E481" s="13" t="str">
        <f>VLOOKUP(D:D,工作表2!A:B,2,0)</f>
        <v>邦善</v>
      </c>
      <c r="F481" s="13" t="str">
        <f>VLOOKUP(D:D,工作表2!A:C,3,0)</f>
        <v>霧面黑</v>
      </c>
      <c r="G481" s="17">
        <v>10317651</v>
      </c>
      <c r="H481" s="17" t="s">
        <v>170</v>
      </c>
      <c r="I481" s="18" t="s">
        <v>171</v>
      </c>
      <c r="J481" s="15">
        <v>9842</v>
      </c>
      <c r="K481" s="15">
        <v>510</v>
      </c>
      <c r="L481" s="20">
        <f t="shared" si="69"/>
        <v>5.1818736029262347E-2</v>
      </c>
      <c r="M481" s="12">
        <v>441</v>
      </c>
      <c r="N481" s="12">
        <v>62</v>
      </c>
      <c r="O481" s="15">
        <v>7</v>
      </c>
      <c r="P481" s="32" t="s">
        <v>890</v>
      </c>
      <c r="Q481" s="23"/>
    </row>
    <row r="482" spans="1:17" ht="16.5">
      <c r="A482" s="25">
        <v>46084</v>
      </c>
      <c r="B482" s="29">
        <v>0.56111111111111112</v>
      </c>
      <c r="C482" s="19">
        <v>46085</v>
      </c>
      <c r="D482" s="24" t="str">
        <f t="shared" si="68"/>
        <v>QUW</v>
      </c>
      <c r="E482" s="13" t="str">
        <f>VLOOKUP(D:D,工作表2!A:B,2,0)</f>
        <v>邦善</v>
      </c>
      <c r="F482" s="13" t="str">
        <f>VLOOKUP(D:D,工作表2!A:C,3,0)</f>
        <v>白</v>
      </c>
      <c r="G482" s="17">
        <v>10317645</v>
      </c>
      <c r="H482" s="17" t="s">
        <v>634</v>
      </c>
      <c r="I482" s="18" t="s">
        <v>640</v>
      </c>
      <c r="J482" s="15">
        <v>11970</v>
      </c>
      <c r="K482" s="15">
        <v>861</v>
      </c>
      <c r="L482" s="20">
        <f t="shared" si="69"/>
        <v>7.192982456140351E-2</v>
      </c>
      <c r="M482" s="12">
        <v>700</v>
      </c>
      <c r="N482" s="12">
        <v>161</v>
      </c>
      <c r="P482" s="32" t="s">
        <v>500</v>
      </c>
      <c r="Q482" s="23"/>
    </row>
    <row r="483" spans="1:17" ht="16.5">
      <c r="A483" s="25">
        <v>46083</v>
      </c>
      <c r="B483" s="29">
        <v>0.55208333333333337</v>
      </c>
      <c r="C483" s="19">
        <v>46085</v>
      </c>
      <c r="D483" s="24" t="str">
        <f t="shared" si="68"/>
        <v>QVA</v>
      </c>
      <c r="E483" s="13" t="str">
        <f>VLOOKUP(D:D,工作表2!A:B,2,0)</f>
        <v>邦善</v>
      </c>
      <c r="F483" s="13" t="str">
        <f>VLOOKUP(D:D,工作表2!A:C,3,0)</f>
        <v>灰</v>
      </c>
      <c r="G483" s="17">
        <v>10317647</v>
      </c>
      <c r="H483" s="17" t="s">
        <v>606</v>
      </c>
      <c r="I483" s="18" t="s">
        <v>608</v>
      </c>
      <c r="J483" s="15">
        <v>1862</v>
      </c>
      <c r="K483" s="15">
        <v>55</v>
      </c>
      <c r="L483" s="20">
        <f t="shared" si="69"/>
        <v>2.9538131041890441E-2</v>
      </c>
      <c r="M483" s="12">
        <v>47</v>
      </c>
      <c r="N483" s="12">
        <v>8</v>
      </c>
      <c r="P483" s="32" t="s">
        <v>500</v>
      </c>
      <c r="Q483" s="23"/>
    </row>
    <row r="484" spans="1:17" ht="16.5">
      <c r="A484" s="25">
        <v>46084</v>
      </c>
      <c r="B484" s="29">
        <v>0.4680555555555555</v>
      </c>
      <c r="C484" s="19">
        <v>46085</v>
      </c>
      <c r="D484" s="24" t="str">
        <f t="shared" si="68"/>
        <v>RZG</v>
      </c>
      <c r="E484" s="13" t="str">
        <f>VLOOKUP(D:D,工作表2!A:B,2,0)</f>
        <v>邦善</v>
      </c>
      <c r="F484" s="13" t="str">
        <f>VLOOKUP(D:D,工作表2!A:C,3,0)</f>
        <v>綠</v>
      </c>
      <c r="G484" s="17">
        <v>10317648</v>
      </c>
      <c r="H484" s="17" t="s">
        <v>406</v>
      </c>
      <c r="I484" s="18" t="s">
        <v>409</v>
      </c>
      <c r="J484" s="15">
        <v>2660</v>
      </c>
      <c r="K484" s="15">
        <v>122</v>
      </c>
      <c r="L484" s="20">
        <f t="shared" si="69"/>
        <v>4.5864661654135337E-2</v>
      </c>
      <c r="M484" s="12">
        <v>80</v>
      </c>
      <c r="N484" s="12">
        <v>42</v>
      </c>
      <c r="P484" s="32" t="s">
        <v>500</v>
      </c>
      <c r="Q484" s="23"/>
    </row>
    <row r="485" spans="1:17" ht="16.5">
      <c r="A485" s="25">
        <v>46084</v>
      </c>
      <c r="B485" s="29">
        <v>0.43333333333333335</v>
      </c>
      <c r="C485" s="19">
        <v>46085</v>
      </c>
      <c r="D485" s="24" t="str">
        <f t="shared" si="68"/>
        <v>S3B</v>
      </c>
      <c r="E485" s="13" t="str">
        <f>VLOOKUP(D:D,工作表2!A:B,2,0)</f>
        <v>邦善</v>
      </c>
      <c r="F485" s="13" t="str">
        <f>VLOOKUP(D:D,工作表2!A:C,3,0)</f>
        <v>黑</v>
      </c>
      <c r="G485" s="17">
        <v>10317644</v>
      </c>
      <c r="H485" s="17" t="s">
        <v>375</v>
      </c>
      <c r="I485" s="18" t="s">
        <v>379</v>
      </c>
      <c r="J485" s="15">
        <v>8246</v>
      </c>
      <c r="K485" s="15">
        <v>419</v>
      </c>
      <c r="L485" s="20">
        <f t="shared" si="69"/>
        <v>5.0812515158864903E-2</v>
      </c>
      <c r="M485" s="12">
        <v>377</v>
      </c>
      <c r="N485" s="12">
        <v>42</v>
      </c>
      <c r="P485" s="32" t="s">
        <v>500</v>
      </c>
      <c r="Q485" s="23"/>
    </row>
    <row r="486" spans="1:17" ht="16.5">
      <c r="A486" s="25">
        <v>46084</v>
      </c>
      <c r="B486" s="29">
        <v>0.4770833333333333</v>
      </c>
      <c r="C486" s="19">
        <v>46085</v>
      </c>
      <c r="D486" s="24" t="str">
        <f t="shared" si="68"/>
        <v>SAA</v>
      </c>
      <c r="E486" s="13" t="str">
        <f>VLOOKUP(D:D,工作表2!A:B,2,0)</f>
        <v>邦善</v>
      </c>
      <c r="F486" s="13" t="str">
        <f>VLOOKUP(D:D,工作表2!A:C,3,0)</f>
        <v>灰</v>
      </c>
      <c r="G486" s="17">
        <v>10317646</v>
      </c>
      <c r="H486" s="17" t="s">
        <v>619</v>
      </c>
      <c r="I486" s="18" t="s">
        <v>628</v>
      </c>
      <c r="J486" s="15">
        <v>7980</v>
      </c>
      <c r="K486" s="15">
        <v>394</v>
      </c>
      <c r="L486" s="20">
        <f t="shared" si="69"/>
        <v>4.9373433583959903E-2</v>
      </c>
      <c r="M486" s="12">
        <v>300</v>
      </c>
      <c r="N486" s="12">
        <v>94</v>
      </c>
      <c r="P486" s="32" t="s">
        <v>500</v>
      </c>
      <c r="Q486" s="23"/>
    </row>
    <row r="487" spans="1:17" ht="16.5">
      <c r="A487" s="25">
        <v>46084</v>
      </c>
      <c r="B487" s="29">
        <v>0.61805555555555558</v>
      </c>
      <c r="C487" s="19">
        <v>46085</v>
      </c>
      <c r="D487" s="24" t="str">
        <f t="shared" si="68"/>
        <v>76S</v>
      </c>
      <c r="E487" s="13" t="str">
        <f>VLOOKUP(D:D,工作表2!A:B,2,0)</f>
        <v>敦陽</v>
      </c>
      <c r="F487" s="13" t="str">
        <f>VLOOKUP(D:D,工作表2!A:C,3,0)</f>
        <v>銀</v>
      </c>
      <c r="G487" s="17">
        <v>10319936</v>
      </c>
      <c r="H487" s="17" t="s">
        <v>539</v>
      </c>
      <c r="I487" s="18" t="s">
        <v>550</v>
      </c>
      <c r="J487" s="15">
        <v>288</v>
      </c>
      <c r="K487" s="15">
        <v>18</v>
      </c>
      <c r="L487" s="20">
        <f t="shared" si="69"/>
        <v>6.25E-2</v>
      </c>
      <c r="M487" s="12">
        <v>12</v>
      </c>
      <c r="N487" s="12">
        <v>6</v>
      </c>
      <c r="P487" s="32" t="s">
        <v>500</v>
      </c>
      <c r="Q487" s="23"/>
    </row>
    <row r="488" spans="1:17" ht="16.5">
      <c r="A488" s="25">
        <v>46078</v>
      </c>
      <c r="B488" s="29">
        <v>0.53819444444444442</v>
      </c>
      <c r="C488" s="19">
        <v>46085</v>
      </c>
      <c r="D488" s="24" t="str">
        <f t="shared" si="68"/>
        <v>SZR</v>
      </c>
      <c r="E488" s="13" t="str">
        <f>VLOOKUP(D:D,工作表2!A:B,2,0)</f>
        <v>邦善</v>
      </c>
      <c r="F488" s="13" t="str">
        <f>VLOOKUP(D:D,工作表2!A:C,3,0)</f>
        <v>紅</v>
      </c>
      <c r="G488" s="17">
        <v>10313186</v>
      </c>
      <c r="H488" s="17" t="s">
        <v>887</v>
      </c>
      <c r="I488" s="18" t="s">
        <v>889</v>
      </c>
      <c r="J488" s="15">
        <v>560</v>
      </c>
      <c r="K488" s="15">
        <v>66</v>
      </c>
      <c r="L488" s="20">
        <f t="shared" si="69"/>
        <v>0.11785714285714285</v>
      </c>
      <c r="M488" s="12">
        <v>40</v>
      </c>
      <c r="N488" s="12">
        <v>26</v>
      </c>
      <c r="P488" s="32" t="s">
        <v>500</v>
      </c>
      <c r="Q488" s="23" t="s">
        <v>962</v>
      </c>
    </row>
    <row r="489" spans="1:17" ht="16.5">
      <c r="A489" s="25">
        <v>46083</v>
      </c>
      <c r="B489" s="29">
        <v>0.65833333333333333</v>
      </c>
      <c r="C489" s="19">
        <v>46085</v>
      </c>
      <c r="D489" s="24" t="str">
        <f t="shared" si="68"/>
        <v>NGW</v>
      </c>
      <c r="E489" s="13" t="str">
        <f>VLOOKUP(D:D,工作表2!A:B,2,0)</f>
        <v>邦善</v>
      </c>
      <c r="F489" s="13" t="str">
        <f>VLOOKUP(D:D,工作表2!A:C,3,0)</f>
        <v>白</v>
      </c>
      <c r="G489" s="17">
        <v>10313192</v>
      </c>
      <c r="H489" s="17" t="s">
        <v>579</v>
      </c>
      <c r="I489" s="18" t="s">
        <v>581</v>
      </c>
      <c r="J489" s="15">
        <v>680</v>
      </c>
      <c r="K489" s="15">
        <v>46</v>
      </c>
      <c r="L489" s="20">
        <f t="shared" si="69"/>
        <v>6.7647058823529407E-2</v>
      </c>
      <c r="M489" s="12">
        <v>30</v>
      </c>
      <c r="N489" s="12">
        <v>16</v>
      </c>
      <c r="P489" s="32" t="s">
        <v>500</v>
      </c>
      <c r="Q489" s="23"/>
    </row>
    <row r="490" spans="1:17" ht="16.5">
      <c r="A490" s="25">
        <v>46065</v>
      </c>
      <c r="B490" s="29">
        <v>0.54166666666666663</v>
      </c>
      <c r="C490" s="19">
        <v>46085</v>
      </c>
      <c r="D490" s="24" t="str">
        <f t="shared" si="68"/>
        <v>NGW</v>
      </c>
      <c r="E490" s="13" t="str">
        <f>VLOOKUP(D:D,工作表2!A:B,2,0)</f>
        <v>邦善</v>
      </c>
      <c r="F490" s="13" t="str">
        <f>VLOOKUP(D:D,工作表2!A:C,3,0)</f>
        <v>白</v>
      </c>
      <c r="G490" s="17">
        <v>10313194</v>
      </c>
      <c r="H490" s="17" t="s">
        <v>886</v>
      </c>
      <c r="I490" s="18" t="s">
        <v>888</v>
      </c>
      <c r="J490" s="15">
        <v>480</v>
      </c>
      <c r="K490" s="15">
        <v>50</v>
      </c>
      <c r="L490" s="20">
        <f t="shared" si="69"/>
        <v>0.10416666666666667</v>
      </c>
      <c r="M490" s="12">
        <v>45</v>
      </c>
      <c r="N490" s="12">
        <v>5</v>
      </c>
      <c r="P490" s="32" t="s">
        <v>500</v>
      </c>
      <c r="Q490" s="23" t="s">
        <v>962</v>
      </c>
    </row>
    <row r="491" spans="1:17" ht="16.5">
      <c r="A491" s="25">
        <v>46078</v>
      </c>
      <c r="B491" s="29">
        <v>0.56944444444444442</v>
      </c>
      <c r="C491" s="19">
        <v>46085</v>
      </c>
      <c r="D491" s="24" t="str">
        <f t="shared" si="68"/>
        <v>NGW</v>
      </c>
      <c r="E491" s="13" t="str">
        <f>VLOOKUP(D:D,工作表2!A:B,2,0)</f>
        <v>邦善</v>
      </c>
      <c r="F491" s="13" t="str">
        <f>VLOOKUP(D:D,工作表2!A:C,3,0)</f>
        <v>白</v>
      </c>
      <c r="G491" s="17">
        <v>10313195</v>
      </c>
      <c r="H491" s="17" t="s">
        <v>886</v>
      </c>
      <c r="I491" s="18" t="s">
        <v>888</v>
      </c>
      <c r="J491" s="15">
        <v>560</v>
      </c>
      <c r="K491" s="15">
        <v>49</v>
      </c>
      <c r="L491" s="20">
        <f t="shared" si="69"/>
        <v>8.7499999999999994E-2</v>
      </c>
      <c r="M491" s="12">
        <v>42</v>
      </c>
      <c r="N491" s="12">
        <v>7</v>
      </c>
      <c r="P491" s="32" t="s">
        <v>500</v>
      </c>
      <c r="Q491" s="23" t="s">
        <v>962</v>
      </c>
    </row>
    <row r="492" spans="1:17" ht="16.5">
      <c r="A492" s="25">
        <v>46084</v>
      </c>
      <c r="B492" s="29">
        <v>0.37986111111111115</v>
      </c>
      <c r="C492" s="19">
        <v>46085</v>
      </c>
      <c r="D492" s="24" t="str">
        <f t="shared" si="68"/>
        <v>Q9B</v>
      </c>
      <c r="E492" s="13" t="str">
        <f>VLOOKUP(D:D,工作表2!A:B,2,0)</f>
        <v>邦善</v>
      </c>
      <c r="F492" s="13" t="str">
        <f>VLOOKUP(D:D,工作表2!A:C,3,0)</f>
        <v>黑</v>
      </c>
      <c r="G492" s="17">
        <v>10313202</v>
      </c>
      <c r="H492" s="17" t="s">
        <v>513</v>
      </c>
      <c r="I492" s="18" t="s">
        <v>525</v>
      </c>
      <c r="J492" s="15">
        <v>800</v>
      </c>
      <c r="K492" s="15">
        <v>115</v>
      </c>
      <c r="L492" s="20">
        <f t="shared" si="69"/>
        <v>0.14374999999999999</v>
      </c>
      <c r="M492" s="12">
        <v>90</v>
      </c>
      <c r="N492" s="12">
        <v>25</v>
      </c>
      <c r="P492" s="32" t="s">
        <v>500</v>
      </c>
      <c r="Q492" s="23" t="s">
        <v>962</v>
      </c>
    </row>
    <row r="493" spans="1:17">
      <c r="A493" s="25">
        <v>46085</v>
      </c>
      <c r="B493" s="29">
        <v>0.39513888888888887</v>
      </c>
      <c r="C493" s="11">
        <v>46086</v>
      </c>
      <c r="D493" s="24" t="str">
        <f t="shared" ref="D493:D501" si="70">RIGHT(I493,3)</f>
        <v>QRB</v>
      </c>
      <c r="E493" s="13" t="str">
        <f>VLOOKUP(D:D,工作表2!A:B,2,0)</f>
        <v>邦善</v>
      </c>
      <c r="F493" s="13" t="str">
        <f>VLOOKUP(D:D,工作表2!A:C,3,0)</f>
        <v>霧面黑</v>
      </c>
      <c r="G493" s="17">
        <v>10317652</v>
      </c>
      <c r="H493" s="17" t="s">
        <v>170</v>
      </c>
      <c r="I493" s="18" t="s">
        <v>171</v>
      </c>
      <c r="J493" s="15">
        <v>28728</v>
      </c>
      <c r="K493" s="15">
        <v>1076</v>
      </c>
      <c r="L493" s="20">
        <f t="shared" ref="L493:L501" si="71">K493/J493</f>
        <v>3.7454747981063768E-2</v>
      </c>
      <c r="M493" s="12">
        <v>833</v>
      </c>
      <c r="N493" s="12">
        <v>183</v>
      </c>
      <c r="O493" s="15">
        <v>60</v>
      </c>
      <c r="P493" s="32" t="s">
        <v>891</v>
      </c>
      <c r="Q493" s="23"/>
    </row>
    <row r="494" spans="1:17" ht="16.5">
      <c r="A494" s="25">
        <v>46083</v>
      </c>
      <c r="B494" s="29">
        <v>0.67847222222222225</v>
      </c>
      <c r="C494" s="11">
        <v>46086</v>
      </c>
      <c r="D494" s="24" t="str">
        <f t="shared" si="70"/>
        <v>NEA</v>
      </c>
      <c r="E494" s="13" t="str">
        <f>VLOOKUP(D:D,工作表2!A:B,2,0)</f>
        <v>邦善</v>
      </c>
      <c r="F494" s="13" t="str">
        <f>VLOOKUP(D:D,工作表2!A:C,3,0)</f>
        <v>灰</v>
      </c>
      <c r="G494" s="17">
        <v>10313172</v>
      </c>
      <c r="H494" s="17" t="s">
        <v>563</v>
      </c>
      <c r="I494" s="18" t="s">
        <v>571</v>
      </c>
      <c r="J494" s="15">
        <v>800</v>
      </c>
      <c r="K494" s="15">
        <v>114</v>
      </c>
      <c r="L494" s="20">
        <f t="shared" si="71"/>
        <v>0.14249999999999999</v>
      </c>
      <c r="M494" s="12">
        <v>80</v>
      </c>
      <c r="N494" s="12">
        <v>34</v>
      </c>
      <c r="P494" s="32" t="s">
        <v>500</v>
      </c>
      <c r="Q494" s="23" t="s">
        <v>963</v>
      </c>
    </row>
    <row r="495" spans="1:17" ht="16.5">
      <c r="A495" s="25">
        <v>46083</v>
      </c>
      <c r="B495" s="29">
        <v>0.63888888888888895</v>
      </c>
      <c r="C495" s="19">
        <v>46086</v>
      </c>
      <c r="D495" s="24" t="str">
        <f t="shared" si="70"/>
        <v>NEA</v>
      </c>
      <c r="E495" s="13" t="str">
        <f>VLOOKUP(D:D,工作表2!A:B,2,0)</f>
        <v>邦善</v>
      </c>
      <c r="F495" s="13" t="str">
        <f>VLOOKUP(D:D,工作表2!A:C,3,0)</f>
        <v>灰</v>
      </c>
      <c r="G495" s="17">
        <v>10313175</v>
      </c>
      <c r="H495" s="17" t="s">
        <v>595</v>
      </c>
      <c r="I495" s="18" t="s">
        <v>603</v>
      </c>
      <c r="J495" s="15">
        <v>800</v>
      </c>
      <c r="K495" s="15">
        <v>113</v>
      </c>
      <c r="L495" s="20">
        <f t="shared" si="71"/>
        <v>0.14124999999999999</v>
      </c>
      <c r="M495" s="12">
        <v>85</v>
      </c>
      <c r="N495" s="12">
        <v>28</v>
      </c>
      <c r="P495" s="32" t="s">
        <v>500</v>
      </c>
      <c r="Q495" s="23" t="s">
        <v>962</v>
      </c>
    </row>
    <row r="496" spans="1:17" ht="16.5">
      <c r="A496" s="25">
        <v>46084</v>
      </c>
      <c r="B496" s="29">
        <v>0.37986111111111115</v>
      </c>
      <c r="C496" s="19">
        <v>46086</v>
      </c>
      <c r="D496" s="24" t="str">
        <f t="shared" si="70"/>
        <v>Q9B</v>
      </c>
      <c r="E496" s="13" t="str">
        <f>VLOOKUP(D:D,工作表2!A:B,2,0)</f>
        <v>邦善</v>
      </c>
      <c r="F496" s="13" t="str">
        <f>VLOOKUP(D:D,工作表2!A:C,3,0)</f>
        <v>黑</v>
      </c>
      <c r="G496" s="17">
        <v>10313202</v>
      </c>
      <c r="H496" s="17" t="s">
        <v>513</v>
      </c>
      <c r="I496" s="18" t="s">
        <v>525</v>
      </c>
      <c r="J496" s="15">
        <v>600</v>
      </c>
      <c r="K496" s="15">
        <v>100</v>
      </c>
      <c r="L496" s="20">
        <f t="shared" si="71"/>
        <v>0.16666666666666666</v>
      </c>
      <c r="M496" s="12">
        <v>50</v>
      </c>
      <c r="N496" s="12">
        <v>50</v>
      </c>
      <c r="P496" s="32" t="s">
        <v>500</v>
      </c>
      <c r="Q496" s="23" t="s">
        <v>962</v>
      </c>
    </row>
    <row r="497" spans="1:18" ht="16.5">
      <c r="A497" s="25">
        <v>46079</v>
      </c>
      <c r="B497" s="29">
        <v>0.5625</v>
      </c>
      <c r="C497" s="19">
        <v>46086</v>
      </c>
      <c r="D497" s="24" t="str">
        <f t="shared" si="70"/>
        <v>NGW</v>
      </c>
      <c r="E497" s="13" t="str">
        <f>VLOOKUP(D:D,工作表2!A:B,2,0)</f>
        <v>邦善</v>
      </c>
      <c r="F497" s="13" t="str">
        <f>VLOOKUP(D:D,工作表2!A:C,3,0)</f>
        <v>白</v>
      </c>
      <c r="G497" s="17">
        <v>10313154</v>
      </c>
      <c r="H497" s="17" t="s">
        <v>521</v>
      </c>
      <c r="I497" s="18" t="s">
        <v>533</v>
      </c>
      <c r="J497" s="15">
        <v>1072</v>
      </c>
      <c r="K497" s="15">
        <v>111</v>
      </c>
      <c r="L497" s="20">
        <f t="shared" si="71"/>
        <v>0.10354477611940298</v>
      </c>
      <c r="M497" s="12">
        <v>90</v>
      </c>
      <c r="N497" s="12">
        <v>21</v>
      </c>
      <c r="P497" s="32" t="s">
        <v>500</v>
      </c>
      <c r="Q497" s="23" t="s">
        <v>961</v>
      </c>
    </row>
    <row r="498" spans="1:18" ht="16.5">
      <c r="A498" s="25">
        <v>46079</v>
      </c>
      <c r="B498" s="29">
        <v>0.55277777777777781</v>
      </c>
      <c r="C498" s="19">
        <v>46086</v>
      </c>
      <c r="D498" s="24" t="str">
        <f t="shared" si="70"/>
        <v>N8B</v>
      </c>
      <c r="E498" s="13" t="str">
        <f>VLOOKUP(D:D,工作表2!A:B,2,0)</f>
        <v>邦善</v>
      </c>
      <c r="F498" s="13" t="str">
        <f>VLOOKUP(D:D,工作表2!A:C,3,0)</f>
        <v>霧面黑</v>
      </c>
      <c r="G498" s="17">
        <v>10313155</v>
      </c>
      <c r="H498" s="17" t="s">
        <v>607</v>
      </c>
      <c r="I498" s="18" t="s">
        <v>609</v>
      </c>
      <c r="J498" s="15">
        <v>1742</v>
      </c>
      <c r="K498" s="15">
        <v>78</v>
      </c>
      <c r="L498" s="20">
        <f t="shared" si="71"/>
        <v>4.4776119402985072E-2</v>
      </c>
      <c r="M498" s="12">
        <v>60</v>
      </c>
      <c r="N498" s="12">
        <v>18</v>
      </c>
      <c r="P498" s="32" t="s">
        <v>500</v>
      </c>
      <c r="Q498" s="23" t="s">
        <v>961</v>
      </c>
    </row>
    <row r="499" spans="1:18">
      <c r="A499" s="25">
        <v>46079</v>
      </c>
      <c r="B499" s="29">
        <v>0.52847222222222223</v>
      </c>
      <c r="C499" s="19">
        <v>46086</v>
      </c>
      <c r="D499" s="24" t="str">
        <f t="shared" si="70"/>
        <v>N8B</v>
      </c>
      <c r="E499" s="13" t="str">
        <f>VLOOKUP(D:D,工作表2!A:B,2,0)</f>
        <v>邦善</v>
      </c>
      <c r="F499" s="13" t="str">
        <f>VLOOKUP(D:D,工作表2!A:C,3,0)</f>
        <v>霧面黑</v>
      </c>
      <c r="G499" s="17">
        <v>10313156</v>
      </c>
      <c r="H499" s="17" t="s">
        <v>613</v>
      </c>
      <c r="I499" s="18" t="s">
        <v>620</v>
      </c>
      <c r="J499" s="15">
        <v>1340</v>
      </c>
      <c r="K499" s="15">
        <v>205</v>
      </c>
      <c r="L499" s="20">
        <f t="shared" si="71"/>
        <v>0.15298507462686567</v>
      </c>
      <c r="M499" s="12">
        <v>156</v>
      </c>
      <c r="N499" s="12">
        <v>24</v>
      </c>
      <c r="P499" s="32" t="s">
        <v>892</v>
      </c>
      <c r="Q499" s="23" t="s">
        <v>961</v>
      </c>
      <c r="R499" s="15">
        <v>25</v>
      </c>
    </row>
    <row r="500" spans="1:18" ht="16.5">
      <c r="A500" s="25">
        <v>46084</v>
      </c>
      <c r="B500" s="29">
        <v>0.61319444444444449</v>
      </c>
      <c r="C500" s="19">
        <v>46086</v>
      </c>
      <c r="D500" s="24" t="str">
        <f t="shared" si="70"/>
        <v>76S</v>
      </c>
      <c r="E500" s="13" t="str">
        <f>VLOOKUP(D:D,工作表2!A:B,2,0)</f>
        <v>敦陽</v>
      </c>
      <c r="F500" s="13" t="str">
        <f>VLOOKUP(D:D,工作表2!A:C,3,0)</f>
        <v>銀</v>
      </c>
      <c r="G500" s="17">
        <v>10319934</v>
      </c>
      <c r="H500" s="17" t="s">
        <v>428</v>
      </c>
      <c r="I500" s="18" t="s">
        <v>433</v>
      </c>
      <c r="J500" s="15">
        <v>268</v>
      </c>
      <c r="K500" s="15">
        <v>15</v>
      </c>
      <c r="L500" s="20">
        <f t="shared" si="71"/>
        <v>5.5970149253731345E-2</v>
      </c>
      <c r="M500" s="12">
        <v>10</v>
      </c>
      <c r="N500" s="12">
        <v>5</v>
      </c>
      <c r="P500" s="32" t="s">
        <v>500</v>
      </c>
      <c r="Q500" s="23" t="s">
        <v>961</v>
      </c>
    </row>
    <row r="501" spans="1:18" ht="16.5">
      <c r="A501" s="25">
        <v>46084</v>
      </c>
      <c r="B501" s="29">
        <v>0.61458333333333337</v>
      </c>
      <c r="C501" s="19">
        <v>46086</v>
      </c>
      <c r="D501" s="24" t="str">
        <f t="shared" si="70"/>
        <v>78A</v>
      </c>
      <c r="E501" s="13" t="str">
        <f>VLOOKUP(D:D,工作表2!A:B,2,0)</f>
        <v>敦陽</v>
      </c>
      <c r="F501" s="13" t="str">
        <f>VLOOKUP(D:D,工作表2!A:C,3,0)</f>
        <v>灰</v>
      </c>
      <c r="G501" s="17">
        <v>10319931</v>
      </c>
      <c r="H501" s="17" t="s">
        <v>407</v>
      </c>
      <c r="I501" s="18" t="s">
        <v>410</v>
      </c>
      <c r="J501" s="15">
        <v>134</v>
      </c>
      <c r="K501" s="15">
        <v>7</v>
      </c>
      <c r="L501" s="20">
        <f t="shared" si="71"/>
        <v>5.2238805970149252E-2</v>
      </c>
      <c r="M501" s="12">
        <v>5</v>
      </c>
      <c r="N501" s="12">
        <v>2</v>
      </c>
      <c r="P501" s="32" t="s">
        <v>500</v>
      </c>
      <c r="Q501" s="23" t="s">
        <v>961</v>
      </c>
    </row>
    <row r="502" spans="1:18" ht="16.5">
      <c r="A502" s="25">
        <v>46079</v>
      </c>
      <c r="B502" s="29">
        <v>0.56944444444444442</v>
      </c>
      <c r="C502" s="11">
        <v>46087</v>
      </c>
      <c r="D502" s="24" t="str">
        <f t="shared" ref="D502:D514" si="72">RIGHT(I502,3)</f>
        <v>UUS</v>
      </c>
      <c r="E502" s="13" t="str">
        <f>VLOOKUP(D:D,工作表2!A:B,2,0)</f>
        <v>邦善</v>
      </c>
      <c r="F502" s="13" t="str">
        <f>VLOOKUP(D:D,工作表2!A:C,3,0)</f>
        <v>銀</v>
      </c>
      <c r="G502" s="17">
        <v>10313168</v>
      </c>
      <c r="H502" s="17" t="s">
        <v>418</v>
      </c>
      <c r="I502" s="18" t="s">
        <v>421</v>
      </c>
      <c r="J502" s="15">
        <v>798</v>
      </c>
      <c r="K502" s="15">
        <v>31</v>
      </c>
      <c r="L502" s="20">
        <f t="shared" ref="L502:L514" si="73">K502/J502</f>
        <v>3.8847117794486213E-2</v>
      </c>
      <c r="M502" s="12">
        <v>27</v>
      </c>
      <c r="N502" s="12">
        <v>4</v>
      </c>
      <c r="P502" s="32" t="s">
        <v>500</v>
      </c>
      <c r="Q502" s="23"/>
    </row>
    <row r="503" spans="1:18">
      <c r="A503" s="25">
        <v>46086</v>
      </c>
      <c r="B503" s="29">
        <v>0.37986111111111115</v>
      </c>
      <c r="C503" s="11">
        <v>46087</v>
      </c>
      <c r="D503" s="24" t="str">
        <f t="shared" si="72"/>
        <v>QRB</v>
      </c>
      <c r="E503" s="13" t="str">
        <f>VLOOKUP(D:D,工作表2!A:B,2,0)</f>
        <v>邦善</v>
      </c>
      <c r="F503" s="13" t="str">
        <f>VLOOKUP(D:D,工作表2!A:C,3,0)</f>
        <v>霧面黑</v>
      </c>
      <c r="G503" s="17">
        <v>10317653</v>
      </c>
      <c r="H503" s="17" t="s">
        <v>170</v>
      </c>
      <c r="I503" s="18" t="s">
        <v>171</v>
      </c>
      <c r="J503" s="15">
        <v>28728</v>
      </c>
      <c r="K503" s="15">
        <v>989</v>
      </c>
      <c r="L503" s="20">
        <f t="shared" si="73"/>
        <v>3.4426343636869951E-2</v>
      </c>
      <c r="M503" s="12">
        <v>693</v>
      </c>
      <c r="N503" s="12">
        <v>238</v>
      </c>
      <c r="O503" s="15">
        <v>58</v>
      </c>
      <c r="P503" s="32" t="s">
        <v>907</v>
      </c>
      <c r="Q503" s="23"/>
    </row>
    <row r="504" spans="1:18" ht="16.5">
      <c r="A504" s="25">
        <v>46085</v>
      </c>
      <c r="B504" s="29">
        <v>0.59722222222222221</v>
      </c>
      <c r="C504" s="19">
        <v>46087</v>
      </c>
      <c r="D504" s="24" t="str">
        <f t="shared" si="72"/>
        <v>78A</v>
      </c>
      <c r="E504" s="13" t="str">
        <f>VLOOKUP(D:D,工作表2!A:B,2,0)</f>
        <v>敦陽</v>
      </c>
      <c r="F504" s="13" t="str">
        <f>VLOOKUP(D:D,工作表2!A:C,3,0)</f>
        <v>灰</v>
      </c>
      <c r="G504" s="17">
        <v>10319932</v>
      </c>
      <c r="H504" s="17" t="s">
        <v>413</v>
      </c>
      <c r="I504" s="18" t="s">
        <v>415</v>
      </c>
      <c r="J504" s="15">
        <v>162</v>
      </c>
      <c r="K504" s="15">
        <v>9</v>
      </c>
      <c r="L504" s="20">
        <f t="shared" si="73"/>
        <v>5.5555555555555552E-2</v>
      </c>
      <c r="M504" s="12">
        <v>7</v>
      </c>
      <c r="N504" s="12">
        <v>2</v>
      </c>
      <c r="P504" s="32" t="s">
        <v>500</v>
      </c>
      <c r="Q504" s="23"/>
    </row>
    <row r="505" spans="1:18" ht="16.5">
      <c r="A505" s="25">
        <v>46085</v>
      </c>
      <c r="B505" s="29">
        <v>0.64583333333333337</v>
      </c>
      <c r="C505" s="19">
        <v>46087</v>
      </c>
      <c r="D505" s="24" t="str">
        <f t="shared" si="72"/>
        <v>QDW</v>
      </c>
      <c r="E505" s="13" t="str">
        <f>VLOOKUP(D:D,工作表2!A:B,2,0)</f>
        <v>邦善</v>
      </c>
      <c r="F505" s="13" t="str">
        <f>VLOOKUP(D:D,工作表2!A:C,3,0)</f>
        <v>白</v>
      </c>
      <c r="G505" s="17">
        <v>10319930</v>
      </c>
      <c r="H505" s="17" t="s">
        <v>439</v>
      </c>
      <c r="I505" s="18" t="s">
        <v>440</v>
      </c>
      <c r="J505" s="15">
        <v>324</v>
      </c>
      <c r="K505" s="15">
        <v>14</v>
      </c>
      <c r="L505" s="20">
        <f t="shared" si="73"/>
        <v>4.3209876543209874E-2</v>
      </c>
      <c r="M505" s="12">
        <v>10</v>
      </c>
      <c r="N505" s="12">
        <v>4</v>
      </c>
      <c r="P505" s="32" t="s">
        <v>500</v>
      </c>
      <c r="Q505" s="23"/>
    </row>
    <row r="506" spans="1:18" ht="16.5">
      <c r="A506" s="25">
        <v>46086</v>
      </c>
      <c r="B506" s="29">
        <v>0.5493055555555556</v>
      </c>
      <c r="C506" s="19">
        <v>46087</v>
      </c>
      <c r="D506" s="24" t="str">
        <f t="shared" si="72"/>
        <v>N8B</v>
      </c>
      <c r="E506" s="13" t="str">
        <f>VLOOKUP(D:D,工作表2!A:B,2,0)</f>
        <v>邦善</v>
      </c>
      <c r="F506" s="13" t="str">
        <f>VLOOKUP(D:D,工作表2!A:C,3,0)</f>
        <v>霧面黑</v>
      </c>
      <c r="G506" s="17">
        <v>10320702</v>
      </c>
      <c r="H506" s="17" t="s">
        <v>895</v>
      </c>
      <c r="I506" s="18" t="s">
        <v>902</v>
      </c>
      <c r="J506" s="15">
        <v>280</v>
      </c>
      <c r="K506" s="15">
        <v>17</v>
      </c>
      <c r="L506" s="20">
        <f t="shared" si="73"/>
        <v>6.0714285714285714E-2</v>
      </c>
      <c r="M506" s="12">
        <v>12</v>
      </c>
      <c r="N506" s="12">
        <v>5</v>
      </c>
      <c r="P506" s="32" t="s">
        <v>500</v>
      </c>
      <c r="Q506" s="23" t="s">
        <v>962</v>
      </c>
    </row>
    <row r="507" spans="1:18" ht="16.5">
      <c r="A507" s="25">
        <v>46086</v>
      </c>
      <c r="B507" s="29">
        <v>0.52500000000000002</v>
      </c>
      <c r="C507" s="19">
        <v>46087</v>
      </c>
      <c r="D507" s="24" t="str">
        <f t="shared" si="72"/>
        <v>N8B</v>
      </c>
      <c r="E507" s="13" t="str">
        <f>VLOOKUP(D:D,工作表2!A:B,2,0)</f>
        <v>邦善</v>
      </c>
      <c r="F507" s="13" t="str">
        <f>VLOOKUP(D:D,工作表2!A:C,3,0)</f>
        <v>霧面黑</v>
      </c>
      <c r="G507" s="17">
        <v>10320695</v>
      </c>
      <c r="H507" s="17" t="s">
        <v>893</v>
      </c>
      <c r="I507" s="18" t="s">
        <v>900</v>
      </c>
      <c r="J507" s="15">
        <v>160</v>
      </c>
      <c r="K507" s="15">
        <v>11</v>
      </c>
      <c r="L507" s="20">
        <f t="shared" si="73"/>
        <v>6.8750000000000006E-2</v>
      </c>
      <c r="M507" s="12">
        <v>8</v>
      </c>
      <c r="N507" s="12">
        <v>3</v>
      </c>
      <c r="P507" s="32" t="s">
        <v>500</v>
      </c>
      <c r="Q507" s="23" t="s">
        <v>962</v>
      </c>
    </row>
    <row r="508" spans="1:18" ht="16.5">
      <c r="A508" s="25">
        <v>46086</v>
      </c>
      <c r="B508" s="29">
        <v>0.52708333333333335</v>
      </c>
      <c r="C508" s="19">
        <v>46087</v>
      </c>
      <c r="D508" s="24" t="str">
        <f t="shared" si="72"/>
        <v>N8B</v>
      </c>
      <c r="E508" s="13" t="str">
        <f>VLOOKUP(D:D,工作表2!A:B,2,0)</f>
        <v>邦善</v>
      </c>
      <c r="F508" s="13" t="str">
        <f>VLOOKUP(D:D,工作表2!A:C,3,0)</f>
        <v>霧面黑</v>
      </c>
      <c r="G508" s="17">
        <v>10320732</v>
      </c>
      <c r="H508" s="17" t="s">
        <v>894</v>
      </c>
      <c r="I508" s="18" t="s">
        <v>901</v>
      </c>
      <c r="J508" s="15">
        <v>160</v>
      </c>
      <c r="K508" s="15">
        <v>32</v>
      </c>
      <c r="L508" s="20">
        <f t="shared" si="73"/>
        <v>0.2</v>
      </c>
      <c r="M508" s="12">
        <v>30</v>
      </c>
      <c r="N508" s="12">
        <v>2</v>
      </c>
      <c r="P508" s="32" t="s">
        <v>500</v>
      </c>
      <c r="Q508" s="23" t="s">
        <v>963</v>
      </c>
    </row>
    <row r="509" spans="1:18" ht="16.5">
      <c r="A509" s="25">
        <v>46078</v>
      </c>
      <c r="B509" s="29">
        <v>0.55277777777777781</v>
      </c>
      <c r="C509" s="19">
        <v>46087</v>
      </c>
      <c r="D509" s="24" t="str">
        <f t="shared" si="72"/>
        <v>NGW</v>
      </c>
      <c r="E509" s="13" t="str">
        <f>VLOOKUP(D:D,工作表2!A:B,2,0)</f>
        <v>邦善</v>
      </c>
      <c r="F509" s="13" t="str">
        <f>VLOOKUP(D:D,工作表2!A:C,3,0)</f>
        <v>白</v>
      </c>
      <c r="G509" s="17">
        <v>10313173</v>
      </c>
      <c r="H509" s="17" t="s">
        <v>896</v>
      </c>
      <c r="I509" s="18" t="s">
        <v>903</v>
      </c>
      <c r="J509" s="15">
        <v>480</v>
      </c>
      <c r="K509" s="15">
        <v>39</v>
      </c>
      <c r="L509" s="20">
        <f t="shared" si="73"/>
        <v>8.1250000000000003E-2</v>
      </c>
      <c r="M509" s="12">
        <v>35</v>
      </c>
      <c r="N509" s="12">
        <v>4</v>
      </c>
      <c r="P509" s="32" t="s">
        <v>500</v>
      </c>
      <c r="Q509" s="23" t="s">
        <v>963</v>
      </c>
    </row>
    <row r="510" spans="1:18" ht="16.5">
      <c r="A510" s="25">
        <v>46086</v>
      </c>
      <c r="B510" s="29">
        <v>0.55555555555555558</v>
      </c>
      <c r="C510" s="19">
        <v>46087</v>
      </c>
      <c r="D510" s="24" t="str">
        <f t="shared" si="72"/>
        <v>N8B</v>
      </c>
      <c r="E510" s="13" t="str">
        <f>VLOOKUP(D:D,工作表2!A:B,2,0)</f>
        <v>邦善</v>
      </c>
      <c r="F510" s="13" t="str">
        <f>VLOOKUP(D:D,工作表2!A:C,3,0)</f>
        <v>霧面黑</v>
      </c>
      <c r="G510" s="17">
        <v>10320698</v>
      </c>
      <c r="H510" s="17" t="s">
        <v>899</v>
      </c>
      <c r="I510" s="18" t="s">
        <v>906</v>
      </c>
      <c r="J510" s="15">
        <v>280</v>
      </c>
      <c r="K510" s="15">
        <v>38</v>
      </c>
      <c r="L510" s="20">
        <f t="shared" si="73"/>
        <v>0.1357142857142857</v>
      </c>
      <c r="M510" s="12">
        <v>30</v>
      </c>
      <c r="N510" s="12">
        <v>8</v>
      </c>
      <c r="P510" s="32" t="s">
        <v>500</v>
      </c>
      <c r="Q510" s="23" t="s">
        <v>962</v>
      </c>
    </row>
    <row r="511" spans="1:18" ht="16.5">
      <c r="A511" s="25">
        <v>46083</v>
      </c>
      <c r="B511" s="29">
        <v>0.62152777777777779</v>
      </c>
      <c r="C511" s="19">
        <v>46087</v>
      </c>
      <c r="D511" s="24" t="str">
        <f t="shared" si="72"/>
        <v>RRA</v>
      </c>
      <c r="E511" s="13" t="str">
        <f>VLOOKUP(D:D,工作表2!A:B,2,0)</f>
        <v>邦善</v>
      </c>
      <c r="F511" s="13" t="str">
        <f>VLOOKUP(D:D,工作表2!A:C,3,0)</f>
        <v>灰</v>
      </c>
      <c r="G511" s="17">
        <v>10315461</v>
      </c>
      <c r="H511" s="17" t="s">
        <v>750</v>
      </c>
      <c r="I511" s="18" t="s">
        <v>753</v>
      </c>
      <c r="J511" s="15">
        <v>800</v>
      </c>
      <c r="K511" s="15">
        <v>51</v>
      </c>
      <c r="L511" s="20">
        <f t="shared" si="73"/>
        <v>6.3750000000000001E-2</v>
      </c>
      <c r="M511" s="12">
        <v>35</v>
      </c>
      <c r="N511" s="12">
        <v>16</v>
      </c>
      <c r="P511" s="32" t="s">
        <v>500</v>
      </c>
      <c r="Q511" s="23" t="s">
        <v>963</v>
      </c>
    </row>
    <row r="512" spans="1:18" ht="16.5">
      <c r="A512" s="25">
        <v>46085</v>
      </c>
      <c r="B512" s="29">
        <v>0.64236111111111105</v>
      </c>
      <c r="C512" s="19">
        <v>46087</v>
      </c>
      <c r="D512" s="24" t="str">
        <f t="shared" si="72"/>
        <v>QDW</v>
      </c>
      <c r="E512" s="13" t="str">
        <f>VLOOKUP(D:D,工作表2!A:B,2,0)</f>
        <v>邦善</v>
      </c>
      <c r="F512" s="13" t="str">
        <f>VLOOKUP(D:D,工作表2!A:C,3,0)</f>
        <v>白</v>
      </c>
      <c r="G512" s="17">
        <v>10319929</v>
      </c>
      <c r="H512" s="17" t="s">
        <v>442</v>
      </c>
      <c r="I512" s="18" t="s">
        <v>443</v>
      </c>
      <c r="J512" s="15">
        <v>402</v>
      </c>
      <c r="K512" s="15">
        <v>37</v>
      </c>
      <c r="L512" s="20">
        <f t="shared" si="73"/>
        <v>9.2039800995024873E-2</v>
      </c>
      <c r="M512" s="12">
        <v>30</v>
      </c>
      <c r="N512" s="12">
        <v>7</v>
      </c>
      <c r="P512" s="32" t="s">
        <v>500</v>
      </c>
      <c r="Q512" s="23" t="s">
        <v>961</v>
      </c>
    </row>
    <row r="513" spans="1:17" ht="16.5">
      <c r="A513" s="25">
        <v>46085</v>
      </c>
      <c r="B513" s="29">
        <v>0.60138888888888886</v>
      </c>
      <c r="C513" s="19">
        <v>46087</v>
      </c>
      <c r="D513" s="24" t="str">
        <f t="shared" si="72"/>
        <v>6HA</v>
      </c>
      <c r="E513" s="13" t="str">
        <f>VLOOKUP(D:D,工作表2!A:B,2,0)</f>
        <v>敦陽</v>
      </c>
      <c r="F513" s="13" t="str">
        <f>VLOOKUP(D:D,工作表2!A:C,3,0)</f>
        <v>灰</v>
      </c>
      <c r="G513" s="17">
        <v>10319661</v>
      </c>
      <c r="H513" s="17" t="s">
        <v>897</v>
      </c>
      <c r="I513" s="18" t="s">
        <v>904</v>
      </c>
      <c r="J513" s="15">
        <v>80</v>
      </c>
      <c r="K513" s="15">
        <v>4</v>
      </c>
      <c r="L513" s="20">
        <f t="shared" si="73"/>
        <v>0.05</v>
      </c>
      <c r="M513" s="12">
        <v>3</v>
      </c>
      <c r="N513" s="12">
        <v>1</v>
      </c>
      <c r="P513" s="32" t="s">
        <v>500</v>
      </c>
      <c r="Q513" s="23"/>
    </row>
    <row r="514" spans="1:17" ht="16.5">
      <c r="A514" s="25">
        <v>46085</v>
      </c>
      <c r="B514" s="29">
        <v>0.60069444444444442</v>
      </c>
      <c r="C514" s="19">
        <v>46087</v>
      </c>
      <c r="D514" s="24" t="str">
        <f t="shared" si="72"/>
        <v>6HA</v>
      </c>
      <c r="E514" s="13" t="str">
        <f>VLOOKUP(D:D,工作表2!A:B,2,0)</f>
        <v>敦陽</v>
      </c>
      <c r="F514" s="13" t="str">
        <f>VLOOKUP(D:D,工作表2!A:C,3,0)</f>
        <v>灰</v>
      </c>
      <c r="G514" s="17">
        <v>10319660</v>
      </c>
      <c r="H514" s="17" t="s">
        <v>898</v>
      </c>
      <c r="I514" s="18" t="s">
        <v>905</v>
      </c>
      <c r="J514" s="15">
        <v>30</v>
      </c>
      <c r="K514" s="15">
        <v>2</v>
      </c>
      <c r="L514" s="20">
        <f t="shared" si="73"/>
        <v>6.6666666666666666E-2</v>
      </c>
      <c r="M514" s="12">
        <v>2</v>
      </c>
      <c r="P514" s="32" t="s">
        <v>500</v>
      </c>
      <c r="Q514" s="23"/>
    </row>
    <row r="515" spans="1:17" ht="16.5">
      <c r="A515" s="25">
        <v>46087</v>
      </c>
      <c r="B515" s="29">
        <v>0.56041666666666667</v>
      </c>
      <c r="C515" s="11">
        <v>46090</v>
      </c>
      <c r="D515" s="24" t="str">
        <f t="shared" ref="D515:D521" si="74">RIGHT(I515,3)</f>
        <v>VEA</v>
      </c>
      <c r="E515" s="13" t="str">
        <f>VLOOKUP(D:D,工作表2!A:B,2,0)</f>
        <v>敦陽</v>
      </c>
      <c r="F515" s="13" t="str">
        <f>VLOOKUP(D:D,工作表2!A:C,3,0)</f>
        <v>灰</v>
      </c>
      <c r="G515" s="17">
        <v>10314180</v>
      </c>
      <c r="H515" s="17" t="s">
        <v>788</v>
      </c>
      <c r="I515" s="18" t="s">
        <v>794</v>
      </c>
      <c r="J515" s="15">
        <v>160</v>
      </c>
      <c r="K515" s="15">
        <v>7</v>
      </c>
      <c r="L515" s="20">
        <f t="shared" ref="L515:L521" si="75">K515/J515</f>
        <v>4.3749999999999997E-2</v>
      </c>
      <c r="M515" s="12">
        <v>5</v>
      </c>
      <c r="N515" s="12">
        <v>2</v>
      </c>
      <c r="P515" s="32" t="s">
        <v>500</v>
      </c>
      <c r="Q515" s="23"/>
    </row>
    <row r="516" spans="1:17">
      <c r="A516" s="25" t="s">
        <v>908</v>
      </c>
      <c r="B516" s="29">
        <v>0.56597222222222221</v>
      </c>
      <c r="C516" s="11">
        <v>46090</v>
      </c>
      <c r="D516" s="24" t="str">
        <f t="shared" si="74"/>
        <v>NBB</v>
      </c>
      <c r="E516" s="13" t="str">
        <f>VLOOKUP(D:D,工作表2!A:B,2,0)</f>
        <v>邦善</v>
      </c>
      <c r="F516" s="13" t="str">
        <f>VLOOKUP(D:D,工作表2!A:C,3,0)</f>
        <v>霧面黑</v>
      </c>
      <c r="G516" s="17">
        <v>10315469</v>
      </c>
      <c r="H516" s="17" t="s">
        <v>369</v>
      </c>
      <c r="I516" s="18" t="s">
        <v>371</v>
      </c>
      <c r="J516" s="15">
        <v>2660</v>
      </c>
      <c r="K516" s="15">
        <v>62</v>
      </c>
      <c r="L516" s="20">
        <f t="shared" si="75"/>
        <v>2.3308270676691729E-2</v>
      </c>
      <c r="M516" s="12">
        <v>59</v>
      </c>
      <c r="N516" s="12">
        <v>3</v>
      </c>
      <c r="P516" s="32" t="s">
        <v>909</v>
      </c>
      <c r="Q516" s="23"/>
    </row>
    <row r="517" spans="1:17" ht="16.5">
      <c r="A517" s="25">
        <v>46087</v>
      </c>
      <c r="B517" s="29">
        <v>0.38055555555555554</v>
      </c>
      <c r="C517" s="19">
        <v>46090</v>
      </c>
      <c r="D517" s="24" t="str">
        <f t="shared" si="74"/>
        <v>QRB</v>
      </c>
      <c r="E517" s="13" t="str">
        <f>VLOOKUP(D:D,工作表2!A:B,2,0)</f>
        <v>邦善</v>
      </c>
      <c r="F517" s="13" t="str">
        <f>VLOOKUP(D:D,工作表2!A:C,3,0)</f>
        <v>霧面黑</v>
      </c>
      <c r="G517" s="17">
        <v>10317654</v>
      </c>
      <c r="H517" s="17" t="s">
        <v>170</v>
      </c>
      <c r="I517" s="18" t="s">
        <v>171</v>
      </c>
      <c r="J517" s="15">
        <v>28728</v>
      </c>
      <c r="K517" s="15">
        <v>769</v>
      </c>
      <c r="L517" s="20">
        <f t="shared" si="75"/>
        <v>2.6768309663046504E-2</v>
      </c>
      <c r="M517" s="12">
        <v>526</v>
      </c>
      <c r="N517" s="12">
        <v>211</v>
      </c>
      <c r="O517" s="15">
        <v>32</v>
      </c>
      <c r="P517" s="32" t="s">
        <v>500</v>
      </c>
      <c r="Q517" s="23"/>
    </row>
    <row r="518" spans="1:17" ht="16.5">
      <c r="A518" s="25">
        <v>46087</v>
      </c>
      <c r="B518" s="29">
        <v>0.56180555555555556</v>
      </c>
      <c r="C518" s="19">
        <v>46090</v>
      </c>
      <c r="D518" s="24" t="str">
        <f t="shared" si="74"/>
        <v>NRR</v>
      </c>
      <c r="E518" s="13" t="str">
        <f>VLOOKUP(D:D,工作表2!A:B,2,0)</f>
        <v>邦善</v>
      </c>
      <c r="F518" s="13" t="str">
        <f>VLOOKUP(D:D,工作表2!A:C,3,0)</f>
        <v>紅</v>
      </c>
      <c r="G518" s="17">
        <v>10320696</v>
      </c>
      <c r="H518" s="17" t="s">
        <v>845</v>
      </c>
      <c r="I518" s="18" t="s">
        <v>858</v>
      </c>
      <c r="J518" s="15">
        <v>32</v>
      </c>
      <c r="K518" s="15">
        <v>3</v>
      </c>
      <c r="L518" s="20">
        <f t="shared" si="75"/>
        <v>9.375E-2</v>
      </c>
      <c r="M518" s="12">
        <v>2</v>
      </c>
      <c r="N518" s="12">
        <v>1</v>
      </c>
      <c r="P518" s="32" t="s">
        <v>500</v>
      </c>
      <c r="Q518" s="23" t="s">
        <v>963</v>
      </c>
    </row>
    <row r="519" spans="1:17" ht="16.5">
      <c r="A519" s="25">
        <v>46087</v>
      </c>
      <c r="B519" s="29">
        <v>0.56458333333333333</v>
      </c>
      <c r="C519" s="19">
        <v>46090</v>
      </c>
      <c r="D519" s="24" t="str">
        <f t="shared" si="74"/>
        <v>NRR</v>
      </c>
      <c r="E519" s="13" t="str">
        <f>VLOOKUP(D:D,工作表2!A:B,2,0)</f>
        <v>邦善</v>
      </c>
      <c r="F519" s="13" t="str">
        <f>VLOOKUP(D:D,工作表2!A:C,3,0)</f>
        <v>紅</v>
      </c>
      <c r="G519" s="17">
        <v>10320697</v>
      </c>
      <c r="H519" s="17" t="s">
        <v>840</v>
      </c>
      <c r="I519" s="18" t="s">
        <v>853</v>
      </c>
      <c r="J519" s="15">
        <v>40</v>
      </c>
      <c r="K519" s="15">
        <v>4</v>
      </c>
      <c r="L519" s="20">
        <f t="shared" si="75"/>
        <v>0.1</v>
      </c>
      <c r="M519" s="12">
        <v>2</v>
      </c>
      <c r="N519" s="12">
        <v>2</v>
      </c>
      <c r="P519" s="32" t="s">
        <v>500</v>
      </c>
      <c r="Q519" s="23" t="s">
        <v>963</v>
      </c>
    </row>
    <row r="520" spans="1:17" ht="16.5">
      <c r="A520" s="25">
        <v>46086</v>
      </c>
      <c r="B520" s="29">
        <v>0.53125</v>
      </c>
      <c r="C520" s="19">
        <v>46090</v>
      </c>
      <c r="D520" s="24" t="str">
        <f t="shared" si="74"/>
        <v>N8B</v>
      </c>
      <c r="E520" s="13" t="str">
        <f>VLOOKUP(D:D,工作表2!A:B,2,0)</f>
        <v>邦善</v>
      </c>
      <c r="F520" s="13" t="str">
        <f>VLOOKUP(D:D,工作表2!A:C,3,0)</f>
        <v>霧面黑</v>
      </c>
      <c r="G520" s="17">
        <v>10318567</v>
      </c>
      <c r="H520" s="17" t="s">
        <v>870</v>
      </c>
      <c r="I520" s="18" t="s">
        <v>876</v>
      </c>
      <c r="J520" s="15">
        <v>240</v>
      </c>
      <c r="K520" s="15">
        <v>12</v>
      </c>
      <c r="L520" s="20">
        <f t="shared" si="75"/>
        <v>0.05</v>
      </c>
      <c r="M520" s="12">
        <v>7</v>
      </c>
      <c r="N520" s="12">
        <v>5</v>
      </c>
      <c r="P520" s="32" t="s">
        <v>500</v>
      </c>
      <c r="Q520" s="23" t="s">
        <v>963</v>
      </c>
    </row>
    <row r="521" spans="1:17" ht="16.5">
      <c r="A521" s="25">
        <v>46087</v>
      </c>
      <c r="B521" s="29">
        <v>0.5541666666666667</v>
      </c>
      <c r="C521" s="19">
        <v>46090</v>
      </c>
      <c r="D521" s="24" t="str">
        <f t="shared" si="74"/>
        <v>Q9B</v>
      </c>
      <c r="E521" s="13" t="str">
        <f>VLOOKUP(D:D,工作表2!A:B,2,0)</f>
        <v>邦善</v>
      </c>
      <c r="F521" s="13" t="str">
        <f>VLOOKUP(D:D,工作表2!A:C,3,0)</f>
        <v>黑</v>
      </c>
      <c r="G521" s="17">
        <v>10320721</v>
      </c>
      <c r="H521" s="17" t="s">
        <v>631</v>
      </c>
      <c r="I521" s="18" t="s">
        <v>637</v>
      </c>
      <c r="J521" s="15">
        <v>72</v>
      </c>
      <c r="K521" s="15">
        <v>4</v>
      </c>
      <c r="L521" s="20">
        <f t="shared" si="75"/>
        <v>5.5555555555555552E-2</v>
      </c>
      <c r="M521" s="12">
        <v>2</v>
      </c>
      <c r="N521" s="12">
        <v>2</v>
      </c>
      <c r="P521" s="32" t="s">
        <v>500</v>
      </c>
      <c r="Q521" s="23" t="s">
        <v>962</v>
      </c>
    </row>
    <row r="522" spans="1:17" ht="16.5">
      <c r="A522" s="25">
        <v>46090</v>
      </c>
      <c r="B522" s="29">
        <v>0.3840277777777778</v>
      </c>
      <c r="C522" s="11">
        <v>46091</v>
      </c>
      <c r="D522" s="24" t="str">
        <f t="shared" ref="D522:D538" si="76">RIGHT(I522,3)</f>
        <v>PLB</v>
      </c>
      <c r="E522" s="13" t="str">
        <f>VLOOKUP(D:D,工作表2!A:B,2,0)</f>
        <v>邦善</v>
      </c>
      <c r="F522" s="13" t="str">
        <f>VLOOKUP(D:D,工作表2!A:C,3,0)</f>
        <v>霧面黑</v>
      </c>
      <c r="G522" s="17">
        <v>10317926</v>
      </c>
      <c r="H522" s="17" t="s">
        <v>408</v>
      </c>
      <c r="I522" s="18" t="s">
        <v>411</v>
      </c>
      <c r="J522" s="15">
        <v>2128</v>
      </c>
      <c r="K522" s="15">
        <v>44</v>
      </c>
      <c r="L522" s="20">
        <f t="shared" ref="L522:L538" si="77">K522/J522</f>
        <v>2.0676691729323307E-2</v>
      </c>
      <c r="M522" s="12">
        <v>40</v>
      </c>
      <c r="N522" s="12">
        <v>4</v>
      </c>
      <c r="P522" s="32" t="s">
        <v>500</v>
      </c>
      <c r="Q522" s="23"/>
    </row>
    <row r="523" spans="1:17" ht="16.5">
      <c r="A523" s="25">
        <v>46090</v>
      </c>
      <c r="B523" s="29">
        <v>0.44097222222222227</v>
      </c>
      <c r="C523" s="11">
        <v>46091</v>
      </c>
      <c r="D523" s="24" t="str">
        <f t="shared" si="76"/>
        <v>QSB</v>
      </c>
      <c r="E523" s="13" t="str">
        <f>VLOOKUP(D:D,工作表2!A:B,2,0)</f>
        <v>邦善</v>
      </c>
      <c r="F523" s="13" t="str">
        <f>VLOOKUP(D:D,工作表2!A:C,3,0)</f>
        <v>黑</v>
      </c>
      <c r="G523" s="17">
        <v>10317650</v>
      </c>
      <c r="H523" s="17" t="s">
        <v>583</v>
      </c>
      <c r="I523" s="18" t="s">
        <v>587</v>
      </c>
      <c r="J523" s="15">
        <v>3990</v>
      </c>
      <c r="K523" s="15">
        <v>330</v>
      </c>
      <c r="L523" s="20">
        <f t="shared" si="77"/>
        <v>8.2706766917293228E-2</v>
      </c>
      <c r="M523" s="12">
        <v>230</v>
      </c>
      <c r="N523" s="12">
        <v>100</v>
      </c>
      <c r="P523" s="32" t="s">
        <v>500</v>
      </c>
      <c r="Q523" s="23"/>
    </row>
    <row r="524" spans="1:17" ht="16.5">
      <c r="A524" s="25">
        <v>46090</v>
      </c>
      <c r="B524" s="29">
        <v>0.55833333333333335</v>
      </c>
      <c r="C524" s="19">
        <v>46091</v>
      </c>
      <c r="D524" s="24" t="str">
        <f t="shared" si="76"/>
        <v>QUW</v>
      </c>
      <c r="E524" s="13" t="str">
        <f>VLOOKUP(D:D,工作表2!A:B,2,0)</f>
        <v>邦善</v>
      </c>
      <c r="F524" s="13" t="str">
        <f>VLOOKUP(D:D,工作表2!A:C,3,0)</f>
        <v>白</v>
      </c>
      <c r="G524" s="17">
        <v>10321403</v>
      </c>
      <c r="H524" s="17" t="s">
        <v>634</v>
      </c>
      <c r="I524" s="18" t="s">
        <v>640</v>
      </c>
      <c r="J524" s="15">
        <v>532</v>
      </c>
      <c r="K524" s="15">
        <v>41</v>
      </c>
      <c r="L524" s="20">
        <f t="shared" si="77"/>
        <v>7.7067669172932327E-2</v>
      </c>
      <c r="M524" s="12">
        <v>38</v>
      </c>
      <c r="N524" s="12">
        <v>3</v>
      </c>
      <c r="P524" s="32" t="s">
        <v>500</v>
      </c>
      <c r="Q524" s="23"/>
    </row>
    <row r="525" spans="1:17" ht="16.5">
      <c r="A525" s="25">
        <v>46090</v>
      </c>
      <c r="B525" s="29">
        <v>0.39305555555555555</v>
      </c>
      <c r="C525" s="19">
        <v>46091</v>
      </c>
      <c r="D525" s="24" t="str">
        <f t="shared" si="76"/>
        <v>S3B</v>
      </c>
      <c r="E525" s="13" t="str">
        <f>VLOOKUP(D:D,工作表2!A:B,2,0)</f>
        <v>邦善</v>
      </c>
      <c r="F525" s="13" t="str">
        <f>VLOOKUP(D:D,工作表2!A:C,3,0)</f>
        <v>黑</v>
      </c>
      <c r="G525" s="17">
        <v>10317658</v>
      </c>
      <c r="H525" s="17" t="s">
        <v>375</v>
      </c>
      <c r="I525" s="18" t="s">
        <v>379</v>
      </c>
      <c r="J525" s="15">
        <v>12502</v>
      </c>
      <c r="K525" s="15">
        <v>787</v>
      </c>
      <c r="L525" s="20">
        <f t="shared" si="77"/>
        <v>6.2949928011518164E-2</v>
      </c>
      <c r="M525" s="12">
        <v>600</v>
      </c>
      <c r="N525" s="12">
        <v>187</v>
      </c>
      <c r="P525" s="32" t="s">
        <v>500</v>
      </c>
      <c r="Q525" s="23"/>
    </row>
    <row r="526" spans="1:17" ht="16.5">
      <c r="A526" s="25">
        <v>46090</v>
      </c>
      <c r="B526" s="29">
        <v>0.4548611111111111</v>
      </c>
      <c r="C526" s="19">
        <v>46091</v>
      </c>
      <c r="D526" s="24" t="str">
        <f t="shared" si="76"/>
        <v>SAA</v>
      </c>
      <c r="E526" s="13" t="str">
        <f>VLOOKUP(D:D,工作表2!A:B,2,0)</f>
        <v>邦善</v>
      </c>
      <c r="F526" s="13" t="str">
        <f>VLOOKUP(D:D,工作表2!A:C,3,0)</f>
        <v>灰</v>
      </c>
      <c r="G526" s="17">
        <v>10317655</v>
      </c>
      <c r="H526" s="17" t="s">
        <v>619</v>
      </c>
      <c r="I526" s="18" t="s">
        <v>628</v>
      </c>
      <c r="J526" s="15">
        <v>5320</v>
      </c>
      <c r="K526" s="15">
        <v>326</v>
      </c>
      <c r="L526" s="20">
        <f t="shared" si="77"/>
        <v>6.1278195488721807E-2</v>
      </c>
      <c r="M526" s="12">
        <v>221</v>
      </c>
      <c r="N526" s="12">
        <v>105</v>
      </c>
      <c r="P526" s="32" t="s">
        <v>500</v>
      </c>
      <c r="Q526" s="23"/>
    </row>
    <row r="527" spans="1:17" ht="16.5">
      <c r="A527" s="25">
        <v>46090</v>
      </c>
      <c r="B527" s="29">
        <v>0.55277777777777781</v>
      </c>
      <c r="C527" s="19">
        <v>46091</v>
      </c>
      <c r="D527" s="24" t="str">
        <f t="shared" si="76"/>
        <v>TUR</v>
      </c>
      <c r="E527" s="13" t="str">
        <f>VLOOKUP(D:D,工作表2!A:B,2,0)</f>
        <v>邦善</v>
      </c>
      <c r="F527" s="13" t="str">
        <f>VLOOKUP(D:D,工作表2!A:C,3,0)</f>
        <v>紅</v>
      </c>
      <c r="G527" s="17">
        <v>10317656</v>
      </c>
      <c r="H527" s="17" t="s">
        <v>611</v>
      </c>
      <c r="I527" s="18" t="s">
        <v>621</v>
      </c>
      <c r="J527" s="15">
        <v>798</v>
      </c>
      <c r="K527" s="15">
        <v>74</v>
      </c>
      <c r="L527" s="20">
        <f t="shared" si="77"/>
        <v>9.2731829573934832E-2</v>
      </c>
      <c r="M527" s="12">
        <v>70</v>
      </c>
      <c r="N527" s="12">
        <v>4</v>
      </c>
      <c r="P527" s="32" t="s">
        <v>500</v>
      </c>
      <c r="Q527" s="23"/>
    </row>
    <row r="528" spans="1:17" ht="16.5">
      <c r="A528" s="25">
        <v>46090</v>
      </c>
      <c r="B528" s="29">
        <v>0.52361111111111114</v>
      </c>
      <c r="C528" s="19">
        <v>46091</v>
      </c>
      <c r="D528" s="24" t="str">
        <f t="shared" si="76"/>
        <v>VLS</v>
      </c>
      <c r="E528" s="13" t="str">
        <f>VLOOKUP(D:D,工作表2!A:B,2,0)</f>
        <v>邦善</v>
      </c>
      <c r="F528" s="13" t="str">
        <f>VLOOKUP(D:D,工作表2!A:C,3,0)</f>
        <v>銀</v>
      </c>
      <c r="G528" s="17">
        <v>10317673</v>
      </c>
      <c r="H528" s="17" t="s">
        <v>383</v>
      </c>
      <c r="I528" s="18" t="s">
        <v>388</v>
      </c>
      <c r="J528" s="15">
        <v>5320</v>
      </c>
      <c r="K528" s="15">
        <v>193</v>
      </c>
      <c r="L528" s="20">
        <f t="shared" si="77"/>
        <v>3.6278195488721805E-2</v>
      </c>
      <c r="M528" s="12">
        <v>157</v>
      </c>
      <c r="N528" s="12">
        <v>36</v>
      </c>
      <c r="P528" s="32" t="s">
        <v>500</v>
      </c>
      <c r="Q528" s="23"/>
    </row>
    <row r="529" spans="1:17" ht="16.5">
      <c r="A529" s="25">
        <v>46090</v>
      </c>
      <c r="B529" s="29">
        <v>0.54652777777777783</v>
      </c>
      <c r="C529" s="19">
        <v>46091</v>
      </c>
      <c r="D529" s="24" t="str">
        <f t="shared" si="76"/>
        <v>VWL</v>
      </c>
      <c r="E529" s="13" t="str">
        <f>VLOOKUP(D:D,工作表2!A:B,2,0)</f>
        <v>邦善</v>
      </c>
      <c r="F529" s="13" t="str">
        <f>VLOOKUP(D:D,工作表2!A:C,3,0)</f>
        <v>藍</v>
      </c>
      <c r="G529" s="17">
        <v>10317674</v>
      </c>
      <c r="H529" s="17" t="s">
        <v>400</v>
      </c>
      <c r="I529" s="18" t="s">
        <v>401</v>
      </c>
      <c r="J529" s="15">
        <v>798</v>
      </c>
      <c r="K529" s="15">
        <v>29</v>
      </c>
      <c r="L529" s="20">
        <f t="shared" si="77"/>
        <v>3.6340852130325813E-2</v>
      </c>
      <c r="M529" s="12">
        <v>27</v>
      </c>
      <c r="N529" s="12">
        <v>2</v>
      </c>
      <c r="P529" s="32" t="s">
        <v>500</v>
      </c>
      <c r="Q529" s="23"/>
    </row>
    <row r="530" spans="1:17" ht="16.5">
      <c r="A530" s="25">
        <v>46090</v>
      </c>
      <c r="B530" s="29">
        <v>0.61736111111111114</v>
      </c>
      <c r="C530" s="19">
        <v>46091</v>
      </c>
      <c r="D530" s="24" t="str">
        <f t="shared" si="76"/>
        <v>XEB</v>
      </c>
      <c r="E530" s="13" t="str">
        <f>VLOOKUP(D:D,工作表2!A:B,2,0)</f>
        <v>敦陽</v>
      </c>
      <c r="F530" s="13" t="str">
        <f>VLOOKUP(D:D,工作表2!A:C,3,0)</f>
        <v>亮黑</v>
      </c>
      <c r="G530" s="17">
        <v>10301953</v>
      </c>
      <c r="H530" s="17" t="s">
        <v>912</v>
      </c>
      <c r="I530" s="18" t="s">
        <v>916</v>
      </c>
      <c r="J530" s="15">
        <v>60</v>
      </c>
      <c r="K530" s="15">
        <v>12</v>
      </c>
      <c r="L530" s="20">
        <f t="shared" si="77"/>
        <v>0.2</v>
      </c>
      <c r="M530" s="12">
        <v>8</v>
      </c>
      <c r="N530" s="12">
        <v>4</v>
      </c>
      <c r="P530" s="32" t="s">
        <v>500</v>
      </c>
      <c r="Q530" s="23"/>
    </row>
    <row r="531" spans="1:17" ht="16.5">
      <c r="A531" s="25">
        <v>46090</v>
      </c>
      <c r="B531" s="29">
        <v>0.61527777777777781</v>
      </c>
      <c r="C531" s="19">
        <v>46091</v>
      </c>
      <c r="D531" s="24" t="str">
        <f t="shared" si="76"/>
        <v>XGA</v>
      </c>
      <c r="E531" s="13" t="str">
        <f>VLOOKUP(D:D,工作表2!A:B,2,0)</f>
        <v>敦陽</v>
      </c>
      <c r="F531" s="13" t="str">
        <f>VLOOKUP(D:D,工作表2!A:C,3,0)</f>
        <v>銀灰</v>
      </c>
      <c r="G531" s="17">
        <v>10301955</v>
      </c>
      <c r="H531" s="17" t="s">
        <v>910</v>
      </c>
      <c r="I531" s="18" t="s">
        <v>914</v>
      </c>
      <c r="J531" s="15">
        <v>60</v>
      </c>
      <c r="K531" s="15">
        <v>16</v>
      </c>
      <c r="L531" s="20">
        <f t="shared" si="77"/>
        <v>0.26666666666666666</v>
      </c>
      <c r="M531" s="12">
        <v>13</v>
      </c>
      <c r="N531" s="12">
        <v>3</v>
      </c>
      <c r="P531" s="32" t="s">
        <v>500</v>
      </c>
      <c r="Q531" s="23"/>
    </row>
    <row r="532" spans="1:17" ht="16.5">
      <c r="A532" s="25">
        <v>46090</v>
      </c>
      <c r="B532" s="29">
        <v>0.61736111111111114</v>
      </c>
      <c r="C532" s="19">
        <v>46091</v>
      </c>
      <c r="D532" s="24" t="str">
        <f t="shared" si="76"/>
        <v>XEB</v>
      </c>
      <c r="E532" s="13" t="str">
        <f>VLOOKUP(D:D,工作表2!A:B,2,0)</f>
        <v>敦陽</v>
      </c>
      <c r="F532" s="13" t="str">
        <f>VLOOKUP(D:D,工作表2!A:C,3,0)</f>
        <v>亮黑</v>
      </c>
      <c r="G532" s="17">
        <v>10301958</v>
      </c>
      <c r="H532" s="17" t="s">
        <v>913</v>
      </c>
      <c r="I532" s="18" t="s">
        <v>917</v>
      </c>
      <c r="J532" s="15">
        <v>60</v>
      </c>
      <c r="K532" s="15">
        <v>3</v>
      </c>
      <c r="L532" s="20">
        <f t="shared" si="77"/>
        <v>0.05</v>
      </c>
      <c r="M532" s="12">
        <v>2</v>
      </c>
      <c r="N532" s="12">
        <v>1</v>
      </c>
      <c r="P532" s="32" t="s">
        <v>500</v>
      </c>
      <c r="Q532" s="23"/>
    </row>
    <row r="533" spans="1:17" ht="16.5">
      <c r="A533" s="25">
        <v>46090</v>
      </c>
      <c r="B533" s="29">
        <v>0.61527777777777781</v>
      </c>
      <c r="C533" s="19">
        <v>46091</v>
      </c>
      <c r="D533" s="24" t="str">
        <f t="shared" si="76"/>
        <v>XGA</v>
      </c>
      <c r="E533" s="13" t="str">
        <f>VLOOKUP(D:D,工作表2!A:B,2,0)</f>
        <v>敦陽</v>
      </c>
      <c r="F533" s="13" t="str">
        <f>VLOOKUP(D:D,工作表2!A:C,3,0)</f>
        <v>銀灰</v>
      </c>
      <c r="G533" s="17">
        <v>10301960</v>
      </c>
      <c r="H533" s="17" t="s">
        <v>911</v>
      </c>
      <c r="I533" s="18" t="s">
        <v>915</v>
      </c>
      <c r="J533" s="15">
        <v>60</v>
      </c>
      <c r="K533" s="15">
        <v>11</v>
      </c>
      <c r="L533" s="20">
        <f t="shared" si="77"/>
        <v>0.18333333333333332</v>
      </c>
      <c r="M533" s="12">
        <v>10</v>
      </c>
      <c r="N533" s="12">
        <v>1</v>
      </c>
      <c r="P533" s="32" t="s">
        <v>500</v>
      </c>
      <c r="Q533" s="23"/>
    </row>
    <row r="534" spans="1:17" ht="16.5">
      <c r="A534" s="25">
        <v>46085</v>
      </c>
      <c r="B534" s="29">
        <v>0.54375000000000007</v>
      </c>
      <c r="C534" s="19">
        <v>46091</v>
      </c>
      <c r="D534" s="24" t="str">
        <f t="shared" si="76"/>
        <v>NGW</v>
      </c>
      <c r="E534" s="13" t="str">
        <f>VLOOKUP(D:D,工作表2!A:B,2,0)</f>
        <v>邦善</v>
      </c>
      <c r="F534" s="13" t="str">
        <f>VLOOKUP(D:D,工作表2!A:C,3,0)</f>
        <v>白</v>
      </c>
      <c r="G534" s="17">
        <v>10313181</v>
      </c>
      <c r="H534" s="17" t="s">
        <v>522</v>
      </c>
      <c r="I534" s="18" t="s">
        <v>534</v>
      </c>
      <c r="J534" s="15">
        <v>480</v>
      </c>
      <c r="K534" s="15">
        <v>35</v>
      </c>
      <c r="L534" s="20">
        <f t="shared" si="77"/>
        <v>7.2916666666666671E-2</v>
      </c>
      <c r="M534" s="12">
        <v>28</v>
      </c>
      <c r="N534" s="12">
        <v>7</v>
      </c>
      <c r="P534" s="32" t="s">
        <v>500</v>
      </c>
      <c r="Q534" s="23" t="s">
        <v>962</v>
      </c>
    </row>
    <row r="535" spans="1:17" ht="16.5">
      <c r="A535" s="25">
        <v>46090</v>
      </c>
      <c r="B535" s="29">
        <v>0.6</v>
      </c>
      <c r="C535" s="19">
        <v>46091</v>
      </c>
      <c r="D535" s="24" t="str">
        <f t="shared" si="76"/>
        <v>NGW</v>
      </c>
      <c r="E535" s="13" t="str">
        <f>VLOOKUP(D:D,工作表2!A:B,2,0)</f>
        <v>邦善</v>
      </c>
      <c r="F535" s="13" t="str">
        <f>VLOOKUP(D:D,工作表2!A:C,3,0)</f>
        <v>白</v>
      </c>
      <c r="G535" s="17">
        <v>10313170</v>
      </c>
      <c r="H535" s="17" t="s">
        <v>327</v>
      </c>
      <c r="I535" s="18" t="s">
        <v>328</v>
      </c>
      <c r="J535" s="15">
        <v>320</v>
      </c>
      <c r="K535" s="15">
        <v>32</v>
      </c>
      <c r="L535" s="20">
        <f t="shared" si="77"/>
        <v>0.1</v>
      </c>
      <c r="M535" s="12">
        <v>30</v>
      </c>
      <c r="N535" s="12">
        <v>2</v>
      </c>
      <c r="P535" s="32" t="s">
        <v>500</v>
      </c>
      <c r="Q535" s="23" t="s">
        <v>963</v>
      </c>
    </row>
    <row r="536" spans="1:17" ht="16.5">
      <c r="A536" s="25">
        <v>46090</v>
      </c>
      <c r="B536" s="29">
        <v>0.63472222222222219</v>
      </c>
      <c r="C536" s="19">
        <v>46091</v>
      </c>
      <c r="D536" s="24" t="str">
        <f t="shared" si="76"/>
        <v>NGW</v>
      </c>
      <c r="E536" s="13" t="str">
        <f>VLOOKUP(D:D,工作表2!A:B,2,0)</f>
        <v>邦善</v>
      </c>
      <c r="F536" s="13" t="str">
        <f>VLOOKUP(D:D,工作表2!A:C,3,0)</f>
        <v>白</v>
      </c>
      <c r="G536" s="17">
        <v>10321504</v>
      </c>
      <c r="H536" s="17" t="s">
        <v>882</v>
      </c>
      <c r="I536" s="18" t="s">
        <v>884</v>
      </c>
      <c r="J536" s="15">
        <v>80</v>
      </c>
      <c r="K536" s="15">
        <v>3</v>
      </c>
      <c r="L536" s="20">
        <f t="shared" si="77"/>
        <v>3.7499999999999999E-2</v>
      </c>
      <c r="M536" s="12">
        <v>2</v>
      </c>
      <c r="N536" s="12">
        <v>1</v>
      </c>
      <c r="P536" s="32" t="s">
        <v>500</v>
      </c>
      <c r="Q536" s="23" t="s">
        <v>962</v>
      </c>
    </row>
    <row r="537" spans="1:17" ht="16.5">
      <c r="A537" s="25">
        <v>46086</v>
      </c>
      <c r="B537" s="29">
        <v>0.53680555555555554</v>
      </c>
      <c r="C537" s="19">
        <v>46091</v>
      </c>
      <c r="D537" s="24" t="str">
        <f t="shared" si="76"/>
        <v>N8B</v>
      </c>
      <c r="E537" s="13" t="str">
        <f>VLOOKUP(D:D,工作表2!A:B,2,0)</f>
        <v>邦善</v>
      </c>
      <c r="F537" s="13" t="str">
        <f>VLOOKUP(D:D,工作表2!A:C,3,0)</f>
        <v>霧面黑</v>
      </c>
      <c r="G537" s="17">
        <v>10318568</v>
      </c>
      <c r="H537" s="17" t="s">
        <v>871</v>
      </c>
      <c r="I537" s="18" t="s">
        <v>877</v>
      </c>
      <c r="J537" s="15">
        <v>240</v>
      </c>
      <c r="K537" s="15">
        <v>26</v>
      </c>
      <c r="L537" s="20">
        <f t="shared" si="77"/>
        <v>0.10833333333333334</v>
      </c>
      <c r="M537" s="12">
        <v>23</v>
      </c>
      <c r="N537" s="12">
        <v>3</v>
      </c>
      <c r="P537" s="32" t="s">
        <v>500</v>
      </c>
      <c r="Q537" s="23" t="s">
        <v>962</v>
      </c>
    </row>
    <row r="538" spans="1:17" ht="16.5">
      <c r="A538" s="25">
        <v>46085</v>
      </c>
      <c r="B538" s="29">
        <v>0.54861111111111105</v>
      </c>
      <c r="C538" s="19">
        <v>46091</v>
      </c>
      <c r="D538" s="24" t="str">
        <f t="shared" si="76"/>
        <v>RCA</v>
      </c>
      <c r="E538" s="13" t="str">
        <f>VLOOKUP(D:D,工作表2!A:B,2,0)</f>
        <v>邦善</v>
      </c>
      <c r="F538" s="13" t="str">
        <f>VLOOKUP(D:D,工作表2!A:C,3,0)</f>
        <v>灰</v>
      </c>
      <c r="G538" s="17">
        <v>10313185</v>
      </c>
      <c r="H538" s="17" t="s">
        <v>872</v>
      </c>
      <c r="I538" s="18" t="s">
        <v>878</v>
      </c>
      <c r="J538" s="15">
        <v>560</v>
      </c>
      <c r="K538" s="15">
        <v>26</v>
      </c>
      <c r="L538" s="20">
        <f t="shared" si="77"/>
        <v>4.642857142857143E-2</v>
      </c>
      <c r="M538" s="12">
        <v>20</v>
      </c>
      <c r="N538" s="12">
        <v>6</v>
      </c>
      <c r="P538" s="32" t="s">
        <v>500</v>
      </c>
      <c r="Q538" s="23" t="s">
        <v>962</v>
      </c>
    </row>
    <row r="539" spans="1:17">
      <c r="A539" s="25">
        <v>46086</v>
      </c>
      <c r="B539" s="29">
        <v>0.57708333333333328</v>
      </c>
      <c r="C539" s="11">
        <v>46092</v>
      </c>
      <c r="D539" s="24" t="str">
        <f t="shared" ref="D539:D563" si="78">RIGHT(I539,3)</f>
        <v>NBB</v>
      </c>
      <c r="E539" s="13" t="str">
        <f>VLOOKUP(D:D,工作表2!A:B,2,0)</f>
        <v>邦善</v>
      </c>
      <c r="F539" s="13" t="str">
        <f>VLOOKUP(D:D,工作表2!A:C,3,0)</f>
        <v>霧面黑</v>
      </c>
      <c r="G539" s="17">
        <v>10315706</v>
      </c>
      <c r="H539" s="17" t="s">
        <v>369</v>
      </c>
      <c r="I539" s="18" t="s">
        <v>371</v>
      </c>
      <c r="J539" s="15">
        <v>2660</v>
      </c>
      <c r="K539" s="15">
        <v>63</v>
      </c>
      <c r="L539" s="20">
        <f t="shared" ref="L539:L563" si="79">K539/J539</f>
        <v>2.368421052631579E-2</v>
      </c>
      <c r="M539" s="12">
        <v>53</v>
      </c>
      <c r="N539" s="12">
        <v>10</v>
      </c>
      <c r="P539" s="32" t="s">
        <v>927</v>
      </c>
      <c r="Q539" s="23"/>
    </row>
    <row r="540" spans="1:17" ht="16.5">
      <c r="A540" s="25">
        <v>46090</v>
      </c>
      <c r="B540" s="29">
        <v>0.56388888888888888</v>
      </c>
      <c r="C540" s="11">
        <v>46092</v>
      </c>
      <c r="D540" s="24" t="str">
        <f t="shared" si="78"/>
        <v>SYL</v>
      </c>
      <c r="E540" s="13" t="str">
        <f>VLOOKUP(D:D,工作表2!A:B,2,0)</f>
        <v>邦善</v>
      </c>
      <c r="F540" s="13" t="str">
        <f>VLOOKUP(D:D,工作表2!A:C,3,0)</f>
        <v>藍</v>
      </c>
      <c r="G540" s="17">
        <v>10315467</v>
      </c>
      <c r="H540" s="17" t="s">
        <v>384</v>
      </c>
      <c r="I540" s="18" t="s">
        <v>389</v>
      </c>
      <c r="J540" s="15">
        <v>3990</v>
      </c>
      <c r="K540" s="15">
        <v>388</v>
      </c>
      <c r="L540" s="20">
        <f t="shared" si="79"/>
        <v>9.7243107769423562E-2</v>
      </c>
      <c r="M540" s="12">
        <v>230</v>
      </c>
      <c r="N540" s="12">
        <v>158</v>
      </c>
      <c r="P540" s="32" t="s">
        <v>500</v>
      </c>
      <c r="Q540" s="23"/>
    </row>
    <row r="541" spans="1:17" ht="16.5">
      <c r="A541" s="25">
        <v>46091</v>
      </c>
      <c r="B541" s="29">
        <v>0.37638888888888888</v>
      </c>
      <c r="C541" s="11">
        <v>46092</v>
      </c>
      <c r="D541" s="24" t="str">
        <f t="shared" si="78"/>
        <v>QRB</v>
      </c>
      <c r="E541" s="13" t="str">
        <f>VLOOKUP(D:D,工作表2!A:B,2,0)</f>
        <v>邦善</v>
      </c>
      <c r="F541" s="13" t="str">
        <f>VLOOKUP(D:D,工作表2!A:C,3,0)</f>
        <v>霧面黑</v>
      </c>
      <c r="G541" s="17">
        <v>10317657</v>
      </c>
      <c r="H541" s="17" t="s">
        <v>170</v>
      </c>
      <c r="I541" s="18" t="s">
        <v>171</v>
      </c>
      <c r="J541" s="15">
        <v>28728</v>
      </c>
      <c r="K541" s="15">
        <v>1321</v>
      </c>
      <c r="L541" s="20">
        <f t="shared" si="79"/>
        <v>4.5983013088276244E-2</v>
      </c>
      <c r="M541" s="12">
        <v>1058</v>
      </c>
      <c r="N541" s="12">
        <v>247</v>
      </c>
      <c r="O541" s="15">
        <v>16</v>
      </c>
      <c r="P541" s="32" t="s">
        <v>500</v>
      </c>
      <c r="Q541" s="23"/>
    </row>
    <row r="542" spans="1:17" ht="16.5">
      <c r="A542" s="25">
        <v>46085</v>
      </c>
      <c r="B542" s="29">
        <v>0.57916666666666672</v>
      </c>
      <c r="C542" s="11">
        <v>46092</v>
      </c>
      <c r="D542" s="24" t="str">
        <f t="shared" si="78"/>
        <v>NRR</v>
      </c>
      <c r="E542" s="13" t="str">
        <f>VLOOKUP(D:D,工作表2!A:B,2,0)</f>
        <v>邦善</v>
      </c>
      <c r="F542" s="13" t="str">
        <f>VLOOKUP(D:D,工作表2!A:C,3,0)</f>
        <v>紅</v>
      </c>
      <c r="G542" s="17">
        <v>10313179</v>
      </c>
      <c r="H542" s="17" t="s">
        <v>925</v>
      </c>
      <c r="I542" s="18" t="s">
        <v>926</v>
      </c>
      <c r="J542" s="15">
        <v>520</v>
      </c>
      <c r="K542" s="15">
        <v>40</v>
      </c>
      <c r="L542" s="20">
        <f t="shared" si="79"/>
        <v>7.6923076923076927E-2</v>
      </c>
      <c r="M542" s="12">
        <v>23</v>
      </c>
      <c r="N542" s="12">
        <v>17</v>
      </c>
      <c r="P542" s="32" t="s">
        <v>500</v>
      </c>
      <c r="Q542" s="23" t="s">
        <v>962</v>
      </c>
    </row>
    <row r="543" spans="1:17" ht="16.5">
      <c r="A543" s="25">
        <v>46086</v>
      </c>
      <c r="B543" s="29">
        <v>0.64027777777777783</v>
      </c>
      <c r="C543" s="11">
        <v>46092</v>
      </c>
      <c r="D543" s="24" t="str">
        <f t="shared" si="78"/>
        <v>RCA</v>
      </c>
      <c r="E543" s="13" t="str">
        <f>VLOOKUP(D:D,工作表2!A:B,2,0)</f>
        <v>邦善</v>
      </c>
      <c r="F543" s="13" t="str">
        <f>VLOOKUP(D:D,工作表2!A:C,3,0)</f>
        <v>灰</v>
      </c>
      <c r="G543" s="17">
        <v>10313188</v>
      </c>
      <c r="H543" s="17" t="s">
        <v>675</v>
      </c>
      <c r="I543" s="18" t="s">
        <v>690</v>
      </c>
      <c r="J543" s="15">
        <v>520</v>
      </c>
      <c r="K543" s="15">
        <v>48</v>
      </c>
      <c r="L543" s="20">
        <f t="shared" si="79"/>
        <v>9.2307692307692313E-2</v>
      </c>
      <c r="M543" s="12">
        <v>40</v>
      </c>
      <c r="N543" s="12">
        <v>8</v>
      </c>
      <c r="P543" s="32" t="s">
        <v>500</v>
      </c>
      <c r="Q543" s="23" t="s">
        <v>963</v>
      </c>
    </row>
    <row r="544" spans="1:17" ht="16.5">
      <c r="A544" s="25">
        <v>46091</v>
      </c>
      <c r="B544" s="29">
        <v>0.5805555555555556</v>
      </c>
      <c r="C544" s="11">
        <v>46093</v>
      </c>
      <c r="D544" s="24" t="str">
        <f t="shared" si="78"/>
        <v>BBB</v>
      </c>
      <c r="E544" s="13" t="str">
        <f>VLOOKUP(D:D,工作表2!A:B,2,0)</f>
        <v>邦善</v>
      </c>
      <c r="F544" s="13" t="str">
        <f>VLOOKUP(D:D,工作表2!A:C,3,0)</f>
        <v>霧面黑</v>
      </c>
      <c r="G544" s="17">
        <v>10320304</v>
      </c>
      <c r="H544" s="17" t="s">
        <v>928</v>
      </c>
      <c r="I544" s="18" t="s">
        <v>929</v>
      </c>
      <c r="J544" s="15">
        <v>420</v>
      </c>
      <c r="K544" s="15">
        <v>8</v>
      </c>
      <c r="L544" s="20">
        <f t="shared" si="79"/>
        <v>1.9047619047619049E-2</v>
      </c>
      <c r="M544" s="12">
        <v>6</v>
      </c>
      <c r="N544" s="12">
        <v>2</v>
      </c>
      <c r="P544" s="32" t="s">
        <v>500</v>
      </c>
      <c r="Q544" s="23"/>
    </row>
    <row r="545" spans="1:17">
      <c r="A545" s="25">
        <v>46091</v>
      </c>
      <c r="B545" s="29">
        <v>0.5229166666666667</v>
      </c>
      <c r="C545" s="11">
        <v>46093</v>
      </c>
      <c r="D545" s="24" t="str">
        <f t="shared" si="78"/>
        <v>NBB</v>
      </c>
      <c r="E545" s="13" t="str">
        <f>VLOOKUP(D:D,工作表2!A:B,2,0)</f>
        <v>邦善</v>
      </c>
      <c r="F545" s="13" t="str">
        <f>VLOOKUP(D:D,工作表2!A:C,3,0)</f>
        <v>霧面黑</v>
      </c>
      <c r="G545" s="17">
        <v>10315750</v>
      </c>
      <c r="H545" s="17" t="s">
        <v>369</v>
      </c>
      <c r="I545" s="18" t="s">
        <v>371</v>
      </c>
      <c r="J545" s="15">
        <v>4256</v>
      </c>
      <c r="K545" s="15">
        <v>111</v>
      </c>
      <c r="L545" s="20">
        <f t="shared" si="79"/>
        <v>2.6080827067669173E-2</v>
      </c>
      <c r="M545" s="12">
        <v>85</v>
      </c>
      <c r="N545" s="12">
        <v>26</v>
      </c>
      <c r="P545" s="32" t="s">
        <v>930</v>
      </c>
      <c r="Q545" s="23"/>
    </row>
    <row r="546" spans="1:17" ht="16.5">
      <c r="A546" s="25">
        <v>46086</v>
      </c>
      <c r="B546" s="29">
        <v>0.65625</v>
      </c>
      <c r="C546" s="19">
        <v>46093</v>
      </c>
      <c r="D546" s="24" t="str">
        <f t="shared" si="78"/>
        <v>RCA</v>
      </c>
      <c r="E546" s="13" t="str">
        <f>VLOOKUP(D:D,工作表2!A:B,2,0)</f>
        <v>邦善</v>
      </c>
      <c r="F546" s="13" t="str">
        <f>VLOOKUP(D:D,工作表2!A:C,3,0)</f>
        <v>灰</v>
      </c>
      <c r="G546" s="17">
        <v>10315712</v>
      </c>
      <c r="H546" s="17" t="s">
        <v>402</v>
      </c>
      <c r="I546" s="18" t="s">
        <v>404</v>
      </c>
      <c r="J546" s="15">
        <v>1596</v>
      </c>
      <c r="K546" s="15">
        <v>80</v>
      </c>
      <c r="L546" s="20">
        <f t="shared" si="79"/>
        <v>5.0125313283208017E-2</v>
      </c>
      <c r="M546" s="12">
        <v>71</v>
      </c>
      <c r="N546" s="12">
        <v>9</v>
      </c>
      <c r="P546" s="32" t="s">
        <v>500</v>
      </c>
      <c r="Q546" s="23"/>
    </row>
    <row r="547" spans="1:17" ht="16.5">
      <c r="A547" s="25">
        <v>46092</v>
      </c>
      <c r="B547" s="29">
        <v>0.45763888888888887</v>
      </c>
      <c r="C547" s="19">
        <v>46093</v>
      </c>
      <c r="D547" s="24" t="str">
        <f t="shared" si="78"/>
        <v>QRB</v>
      </c>
      <c r="E547" s="13" t="str">
        <f>VLOOKUP(D:D,工作表2!A:B,2,0)</f>
        <v>邦善</v>
      </c>
      <c r="F547" s="13" t="str">
        <f>VLOOKUP(D:D,工作表2!A:C,3,0)</f>
        <v>霧面黑</v>
      </c>
      <c r="G547" s="17">
        <v>10317660</v>
      </c>
      <c r="H547" s="17" t="s">
        <v>170</v>
      </c>
      <c r="I547" s="18" t="s">
        <v>171</v>
      </c>
      <c r="J547" s="15">
        <v>14896</v>
      </c>
      <c r="K547" s="15">
        <v>834</v>
      </c>
      <c r="L547" s="20">
        <f t="shared" si="79"/>
        <v>5.5988184747583242E-2</v>
      </c>
      <c r="M547" s="12">
        <v>727</v>
      </c>
      <c r="N547" s="12">
        <v>92</v>
      </c>
      <c r="O547" s="15">
        <v>15</v>
      </c>
      <c r="P547" s="32" t="s">
        <v>500</v>
      </c>
      <c r="Q547" s="23"/>
    </row>
    <row r="548" spans="1:17" ht="16.5">
      <c r="A548" s="25">
        <v>46092</v>
      </c>
      <c r="B548" s="29">
        <v>0.60555555555555551</v>
      </c>
      <c r="C548" s="19">
        <v>46093</v>
      </c>
      <c r="D548" s="24" t="str">
        <f t="shared" si="78"/>
        <v>SAA</v>
      </c>
      <c r="E548" s="13" t="str">
        <f>VLOOKUP(D:D,工作表2!A:B,2,0)</f>
        <v>邦善</v>
      </c>
      <c r="F548" s="13" t="str">
        <f>VLOOKUP(D:D,工作表2!A:C,3,0)</f>
        <v>灰</v>
      </c>
      <c r="G548" s="17">
        <v>10317670</v>
      </c>
      <c r="H548" s="17" t="s">
        <v>619</v>
      </c>
      <c r="I548" s="18" t="s">
        <v>628</v>
      </c>
      <c r="J548" s="15">
        <v>1596</v>
      </c>
      <c r="K548" s="15">
        <v>116</v>
      </c>
      <c r="L548" s="20">
        <f t="shared" si="79"/>
        <v>7.2681704260651625E-2</v>
      </c>
      <c r="M548" s="12">
        <v>101</v>
      </c>
      <c r="N548" s="12">
        <v>15</v>
      </c>
      <c r="P548" s="32" t="s">
        <v>500</v>
      </c>
      <c r="Q548" s="23"/>
    </row>
    <row r="549" spans="1:17" ht="16.5">
      <c r="A549" s="25">
        <v>46092</v>
      </c>
      <c r="B549" s="29">
        <v>0.56666666666666665</v>
      </c>
      <c r="C549" s="19">
        <v>46093</v>
      </c>
      <c r="D549" s="24" t="str">
        <f t="shared" si="78"/>
        <v>TXA</v>
      </c>
      <c r="E549" s="13" t="str">
        <f>VLOOKUP(D:D,工作表2!A:B,2,0)</f>
        <v>邦善</v>
      </c>
      <c r="F549" s="13" t="str">
        <f>VLOOKUP(D:D,工作表2!A:C,3,0)</f>
        <v>灰</v>
      </c>
      <c r="G549" s="17">
        <v>10317668</v>
      </c>
      <c r="H549" s="17" t="s">
        <v>520</v>
      </c>
      <c r="I549" s="18" t="s">
        <v>532</v>
      </c>
      <c r="J549" s="15">
        <v>6118</v>
      </c>
      <c r="K549" s="15">
        <v>199</v>
      </c>
      <c r="L549" s="20">
        <f t="shared" si="79"/>
        <v>3.2526969597907816E-2</v>
      </c>
      <c r="M549" s="12">
        <v>119</v>
      </c>
      <c r="N549" s="12">
        <v>80</v>
      </c>
      <c r="P549" s="32" t="s">
        <v>500</v>
      </c>
      <c r="Q549" s="23"/>
    </row>
    <row r="550" spans="1:17" ht="16.5">
      <c r="A550" s="25">
        <v>46092</v>
      </c>
      <c r="B550" s="29">
        <v>0.55763888888888891</v>
      </c>
      <c r="C550" s="19">
        <v>46093</v>
      </c>
      <c r="D550" s="24" t="str">
        <f t="shared" si="78"/>
        <v>TZB</v>
      </c>
      <c r="E550" s="13" t="str">
        <f>VLOOKUP(D:D,工作表2!A:B,2,0)</f>
        <v>邦善</v>
      </c>
      <c r="F550" s="13" t="str">
        <f>VLOOKUP(D:D,工作表2!A:C,3,0)</f>
        <v>黑</v>
      </c>
      <c r="G550" s="17">
        <v>10317672</v>
      </c>
      <c r="H550" s="17" t="s">
        <v>644</v>
      </c>
      <c r="I550" s="18" t="s">
        <v>654</v>
      </c>
      <c r="J550" s="15">
        <v>2394</v>
      </c>
      <c r="K550" s="15">
        <v>119</v>
      </c>
      <c r="L550" s="20">
        <f t="shared" si="79"/>
        <v>4.9707602339181284E-2</v>
      </c>
      <c r="M550" s="12">
        <v>96</v>
      </c>
      <c r="N550" s="12">
        <v>23</v>
      </c>
      <c r="P550" s="32" t="s">
        <v>500</v>
      </c>
      <c r="Q550" s="23"/>
    </row>
    <row r="551" spans="1:17" ht="16.5">
      <c r="A551" s="25">
        <v>46092</v>
      </c>
      <c r="B551" s="29">
        <v>0.59305555555555556</v>
      </c>
      <c r="C551" s="19">
        <v>46093</v>
      </c>
      <c r="D551" s="24" t="str">
        <f t="shared" si="78"/>
        <v>U3L</v>
      </c>
      <c r="E551" s="13" t="str">
        <f>VLOOKUP(D:D,工作表2!A:B,2,0)</f>
        <v>邦善</v>
      </c>
      <c r="F551" s="13" t="str">
        <f>VLOOKUP(D:D,工作表2!A:C,3,0)</f>
        <v>藍</v>
      </c>
      <c r="G551" s="17">
        <v>10317669</v>
      </c>
      <c r="H551" s="17" t="s">
        <v>392</v>
      </c>
      <c r="I551" s="18" t="s">
        <v>394</v>
      </c>
      <c r="J551" s="15">
        <v>3192</v>
      </c>
      <c r="K551" s="15">
        <v>128</v>
      </c>
      <c r="L551" s="20">
        <f t="shared" si="79"/>
        <v>4.0100250626566414E-2</v>
      </c>
      <c r="M551" s="12">
        <v>115</v>
      </c>
      <c r="N551" s="12">
        <v>13</v>
      </c>
      <c r="P551" s="32" t="s">
        <v>500</v>
      </c>
      <c r="Q551" s="23"/>
    </row>
    <row r="552" spans="1:17" ht="16.5">
      <c r="A552" s="25">
        <v>46092</v>
      </c>
      <c r="B552" s="29">
        <v>0.61111111111111105</v>
      </c>
      <c r="C552" s="19">
        <v>46093</v>
      </c>
      <c r="D552" s="24" t="str">
        <f t="shared" si="78"/>
        <v>XJL</v>
      </c>
      <c r="E552" s="13" t="str">
        <f>VLOOKUP(D:D,工作表2!A:B,2,0)</f>
        <v>邦善</v>
      </c>
      <c r="F552" s="13" t="str">
        <f>VLOOKUP(D:D,工作表2!A:C,3,0)</f>
        <v>藍</v>
      </c>
      <c r="G552" s="17">
        <v>10317675</v>
      </c>
      <c r="H552" s="17" t="s">
        <v>615</v>
      </c>
      <c r="I552" s="18" t="s">
        <v>624</v>
      </c>
      <c r="J552" s="15">
        <v>532</v>
      </c>
      <c r="K552" s="15">
        <v>3</v>
      </c>
      <c r="L552" s="20">
        <f t="shared" si="79"/>
        <v>5.6390977443609019E-3</v>
      </c>
      <c r="M552" s="12">
        <v>3</v>
      </c>
      <c r="P552" s="32" t="s">
        <v>500</v>
      </c>
      <c r="Q552" s="23"/>
    </row>
    <row r="553" spans="1:17" ht="16.5">
      <c r="A553" s="25">
        <v>46091</v>
      </c>
      <c r="B553" s="29">
        <v>0.57708333333333328</v>
      </c>
      <c r="C553" s="19">
        <v>46093</v>
      </c>
      <c r="D553" s="24" t="str">
        <f t="shared" si="78"/>
        <v>BBB</v>
      </c>
      <c r="E553" s="13" t="str">
        <f>VLOOKUP(D:D,工作表2!A:B,2,0)</f>
        <v>邦善</v>
      </c>
      <c r="F553" s="13" t="str">
        <f>VLOOKUP(D:D,工作表2!A:C,3,0)</f>
        <v>霧面黑</v>
      </c>
      <c r="G553" s="17">
        <v>10320305</v>
      </c>
      <c r="H553" s="17" t="s">
        <v>518</v>
      </c>
      <c r="I553" s="18" t="s">
        <v>530</v>
      </c>
      <c r="J553" s="15">
        <v>36</v>
      </c>
      <c r="K553" s="15">
        <v>0</v>
      </c>
      <c r="L553" s="20">
        <f t="shared" si="79"/>
        <v>0</v>
      </c>
      <c r="P553" s="32" t="s">
        <v>500</v>
      </c>
      <c r="Q553" s="23"/>
    </row>
    <row r="554" spans="1:17" ht="16.5">
      <c r="A554" s="25">
        <v>46091</v>
      </c>
      <c r="B554" s="29">
        <v>0.54166666666666663</v>
      </c>
      <c r="C554" s="19">
        <v>46093</v>
      </c>
      <c r="D554" s="24" t="str">
        <f t="shared" si="78"/>
        <v>NBB</v>
      </c>
      <c r="E554" s="13" t="str">
        <f>VLOOKUP(D:D,工作表2!A:B,2,0)</f>
        <v>邦善</v>
      </c>
      <c r="F554" s="13" t="str">
        <f>VLOOKUP(D:D,工作表2!A:C,3,0)</f>
        <v>霧面黑</v>
      </c>
      <c r="G554" s="17">
        <v>10315463</v>
      </c>
      <c r="H554" s="17" t="s">
        <v>306</v>
      </c>
      <c r="I554" s="18" t="s">
        <v>307</v>
      </c>
      <c r="J554" s="15">
        <v>4788</v>
      </c>
      <c r="K554" s="15">
        <v>77</v>
      </c>
      <c r="L554" s="20">
        <f t="shared" si="79"/>
        <v>1.6081871345029239E-2</v>
      </c>
      <c r="M554" s="12">
        <v>57</v>
      </c>
      <c r="N554" s="12">
        <v>20</v>
      </c>
      <c r="P554" s="32" t="s">
        <v>500</v>
      </c>
      <c r="Q554" s="23"/>
    </row>
    <row r="555" spans="1:17" ht="16.5">
      <c r="A555" s="25">
        <v>46090</v>
      </c>
      <c r="B555" s="29">
        <v>0.58472222222222225</v>
      </c>
      <c r="C555" s="19">
        <v>46093</v>
      </c>
      <c r="D555" s="24" t="str">
        <f t="shared" si="78"/>
        <v>NCB</v>
      </c>
      <c r="E555" s="13" t="str">
        <f>VLOOKUP(D:D,工作表2!A:B,2,0)</f>
        <v>邦善</v>
      </c>
      <c r="F555" s="13" t="str">
        <f>VLOOKUP(D:D,工作表2!A:C,3,0)</f>
        <v>黑</v>
      </c>
      <c r="G555" s="17">
        <v>10315716</v>
      </c>
      <c r="H555" s="17" t="s">
        <v>751</v>
      </c>
      <c r="I555" s="18" t="s">
        <v>754</v>
      </c>
      <c r="J555" s="15">
        <v>1064</v>
      </c>
      <c r="K555" s="15">
        <v>89</v>
      </c>
      <c r="L555" s="20">
        <f t="shared" si="79"/>
        <v>8.3646616541353386E-2</v>
      </c>
      <c r="M555" s="12">
        <v>70</v>
      </c>
      <c r="N555" s="12">
        <v>19</v>
      </c>
      <c r="P555" s="32" t="s">
        <v>500</v>
      </c>
      <c r="Q555" s="23"/>
    </row>
    <row r="556" spans="1:17" ht="16.5">
      <c r="A556" s="25">
        <v>46090</v>
      </c>
      <c r="B556" s="29">
        <v>0.59513888888888888</v>
      </c>
      <c r="C556" s="19">
        <v>46093</v>
      </c>
      <c r="D556" s="24" t="str">
        <f t="shared" si="78"/>
        <v>NGW</v>
      </c>
      <c r="E556" s="13" t="str">
        <f>VLOOKUP(D:D,工作表2!A:B,2,0)</f>
        <v>邦善</v>
      </c>
      <c r="F556" s="13" t="str">
        <f>VLOOKUP(D:D,工作表2!A:C,3,0)</f>
        <v>白</v>
      </c>
      <c r="G556" s="17">
        <v>10315715</v>
      </c>
      <c r="H556" s="17" t="s">
        <v>543</v>
      </c>
      <c r="I556" s="18" t="s">
        <v>554</v>
      </c>
      <c r="J556" s="15">
        <v>798</v>
      </c>
      <c r="K556" s="15">
        <v>34</v>
      </c>
      <c r="L556" s="20">
        <f t="shared" si="79"/>
        <v>4.2606516290726815E-2</v>
      </c>
      <c r="M556" s="12">
        <v>20</v>
      </c>
      <c r="N556" s="12">
        <v>14</v>
      </c>
      <c r="P556" s="32" t="s">
        <v>500</v>
      </c>
      <c r="Q556" s="23"/>
    </row>
    <row r="557" spans="1:17" ht="16.5">
      <c r="A557" s="25">
        <v>46090</v>
      </c>
      <c r="B557" s="29">
        <v>0.60972222222222217</v>
      </c>
      <c r="C557" s="19">
        <v>46093</v>
      </c>
      <c r="D557" s="24" t="str">
        <f t="shared" si="78"/>
        <v>QHR</v>
      </c>
      <c r="E557" s="13" t="str">
        <f>VLOOKUP(D:D,工作表2!A:B,2,0)</f>
        <v>邦善</v>
      </c>
      <c r="F557" s="13" t="str">
        <f>VLOOKUP(D:D,工作表2!A:C,3,0)</f>
        <v>紅</v>
      </c>
      <c r="G557" s="17">
        <v>10315717</v>
      </c>
      <c r="H557" s="17" t="s">
        <v>823</v>
      </c>
      <c r="I557" s="18" t="s">
        <v>832</v>
      </c>
      <c r="J557" s="15">
        <v>870</v>
      </c>
      <c r="K557" s="15">
        <v>151</v>
      </c>
      <c r="L557" s="20">
        <f t="shared" si="79"/>
        <v>0.1735632183908046</v>
      </c>
      <c r="M557" s="12">
        <v>138</v>
      </c>
      <c r="N557" s="12">
        <v>13</v>
      </c>
      <c r="P557" s="32" t="s">
        <v>500</v>
      </c>
      <c r="Q557" s="23"/>
    </row>
    <row r="558" spans="1:17" ht="16.5">
      <c r="A558" s="25">
        <v>46090</v>
      </c>
      <c r="B558" s="29">
        <v>0.59166666666666667</v>
      </c>
      <c r="C558" s="19">
        <v>46093</v>
      </c>
      <c r="D558" s="24" t="str">
        <f t="shared" si="78"/>
        <v>R7A</v>
      </c>
      <c r="E558" s="13" t="str">
        <f>VLOOKUP(D:D,工作表2!A:B,2,0)</f>
        <v>邦善</v>
      </c>
      <c r="F558" s="13" t="str">
        <f>VLOOKUP(D:D,工作表2!A:C,3,0)</f>
        <v>灰</v>
      </c>
      <c r="G558" s="17">
        <v>10315718</v>
      </c>
      <c r="H558" s="17" t="s">
        <v>767</v>
      </c>
      <c r="I558" s="18" t="s">
        <v>770</v>
      </c>
      <c r="J558" s="15">
        <v>798</v>
      </c>
      <c r="K558" s="15">
        <v>55</v>
      </c>
      <c r="L558" s="20">
        <f t="shared" si="79"/>
        <v>6.8922305764411024E-2</v>
      </c>
      <c r="M558" s="12">
        <v>40</v>
      </c>
      <c r="N558" s="12">
        <v>15</v>
      </c>
      <c r="P558" s="32" t="s">
        <v>500</v>
      </c>
      <c r="Q558" s="23"/>
    </row>
    <row r="559" spans="1:17" ht="16.5">
      <c r="A559" s="25">
        <v>46087</v>
      </c>
      <c r="B559" s="29">
        <v>0.56527777777777777</v>
      </c>
      <c r="C559" s="19">
        <v>46093</v>
      </c>
      <c r="D559" s="24" t="str">
        <f t="shared" si="78"/>
        <v>RDR</v>
      </c>
      <c r="E559" s="13" t="str">
        <f>VLOOKUP(D:D,工作表2!A:B,2,0)</f>
        <v>邦善</v>
      </c>
      <c r="F559" s="13" t="str">
        <f>VLOOKUP(D:D,工作表2!A:C,3,0)</f>
        <v>紅</v>
      </c>
      <c r="G559" s="17">
        <v>10313169</v>
      </c>
      <c r="H559" s="17" t="s">
        <v>665</v>
      </c>
      <c r="I559" s="18" t="s">
        <v>669</v>
      </c>
      <c r="J559" s="15">
        <v>360</v>
      </c>
      <c r="K559" s="15">
        <v>33</v>
      </c>
      <c r="L559" s="20">
        <f t="shared" si="79"/>
        <v>9.166666666666666E-2</v>
      </c>
      <c r="M559" s="12">
        <v>19</v>
      </c>
      <c r="N559" s="12">
        <v>14</v>
      </c>
      <c r="P559" s="32" t="s">
        <v>500</v>
      </c>
      <c r="Q559" s="23" t="s">
        <v>962</v>
      </c>
    </row>
    <row r="560" spans="1:17" ht="16.5">
      <c r="A560" s="25">
        <v>46092</v>
      </c>
      <c r="B560" s="29">
        <v>0.42777777777777781</v>
      </c>
      <c r="C560" s="19">
        <v>46093</v>
      </c>
      <c r="D560" s="24" t="str">
        <f t="shared" si="78"/>
        <v>RDR</v>
      </c>
      <c r="E560" s="13" t="str">
        <f>VLOOKUP(D:D,工作表2!A:B,2,0)</f>
        <v>邦善</v>
      </c>
      <c r="F560" s="13" t="str">
        <f>VLOOKUP(D:D,工作表2!A:C,3,0)</f>
        <v>紅</v>
      </c>
      <c r="G560" s="17">
        <v>10313197</v>
      </c>
      <c r="H560" s="17" t="s">
        <v>664</v>
      </c>
      <c r="I560" s="18" t="s">
        <v>668</v>
      </c>
      <c r="J560" s="15">
        <v>520</v>
      </c>
      <c r="K560" s="15">
        <v>61</v>
      </c>
      <c r="L560" s="20">
        <f t="shared" si="79"/>
        <v>0.11730769230769231</v>
      </c>
      <c r="M560" s="12">
        <v>43</v>
      </c>
      <c r="N560" s="12">
        <v>18</v>
      </c>
      <c r="P560" s="32" t="s">
        <v>500</v>
      </c>
      <c r="Q560" s="23" t="s">
        <v>962</v>
      </c>
    </row>
    <row r="561" spans="1:18" ht="16.5">
      <c r="A561" s="25">
        <v>46087</v>
      </c>
      <c r="B561" s="29">
        <v>0.52638888888888891</v>
      </c>
      <c r="C561" s="19">
        <v>46093</v>
      </c>
      <c r="D561" s="24" t="str">
        <f t="shared" si="78"/>
        <v>Q9B</v>
      </c>
      <c r="E561" s="13" t="str">
        <f>VLOOKUP(D:D,工作表2!A:B,2,0)</f>
        <v>邦善</v>
      </c>
      <c r="F561" s="13" t="str">
        <f>VLOOKUP(D:D,工作表2!A:C,3,0)</f>
        <v>黑</v>
      </c>
      <c r="G561" s="17">
        <v>10313199</v>
      </c>
      <c r="H561" s="17" t="s">
        <v>730</v>
      </c>
      <c r="I561" s="18" t="s">
        <v>737</v>
      </c>
      <c r="J561" s="15">
        <v>760</v>
      </c>
      <c r="K561" s="15">
        <v>37</v>
      </c>
      <c r="L561" s="20">
        <f t="shared" si="79"/>
        <v>4.8684210526315788E-2</v>
      </c>
      <c r="M561" s="12">
        <v>20</v>
      </c>
      <c r="N561" s="12">
        <v>17</v>
      </c>
      <c r="P561" s="32" t="s">
        <v>500</v>
      </c>
      <c r="Q561" s="23" t="s">
        <v>963</v>
      </c>
    </row>
    <row r="562" spans="1:18">
      <c r="A562" s="25">
        <v>46092</v>
      </c>
      <c r="B562" s="29">
        <v>0.37916666666666665</v>
      </c>
      <c r="C562" s="19">
        <v>46093</v>
      </c>
      <c r="D562" s="24" t="str">
        <f t="shared" si="78"/>
        <v>Q9B</v>
      </c>
      <c r="E562" s="13" t="str">
        <f>VLOOKUP(D:D,工作表2!A:B,2,0)</f>
        <v>邦善</v>
      </c>
      <c r="F562" s="13" t="str">
        <f>VLOOKUP(D:D,工作表2!A:C,3,0)</f>
        <v>黑</v>
      </c>
      <c r="G562" s="17">
        <v>10313201</v>
      </c>
      <c r="H562" s="17" t="s">
        <v>783</v>
      </c>
      <c r="I562" s="18" t="s">
        <v>785</v>
      </c>
      <c r="J562" s="15">
        <v>1160</v>
      </c>
      <c r="K562" s="15">
        <v>110</v>
      </c>
      <c r="L562" s="20">
        <f t="shared" si="79"/>
        <v>9.4827586206896547E-2</v>
      </c>
      <c r="M562" s="12">
        <v>80</v>
      </c>
      <c r="N562" s="12">
        <v>26</v>
      </c>
      <c r="P562" s="32" t="s">
        <v>931</v>
      </c>
      <c r="Q562" s="23" t="s">
        <v>963</v>
      </c>
      <c r="R562" s="15">
        <v>4</v>
      </c>
    </row>
    <row r="563" spans="1:18" ht="16.5">
      <c r="A563" s="25">
        <v>46087</v>
      </c>
      <c r="B563" s="29">
        <v>0.58124999999999993</v>
      </c>
      <c r="C563" s="19">
        <v>46093</v>
      </c>
      <c r="D563" s="24" t="str">
        <f t="shared" si="78"/>
        <v>Q9B</v>
      </c>
      <c r="E563" s="13" t="str">
        <f>VLOOKUP(D:D,工作表2!A:B,2,0)</f>
        <v>邦善</v>
      </c>
      <c r="F563" s="13" t="str">
        <f>VLOOKUP(D:D,工作表2!A:C,3,0)</f>
        <v>黑</v>
      </c>
      <c r="G563" s="17">
        <v>10313203</v>
      </c>
      <c r="H563" s="17" t="s">
        <v>816</v>
      </c>
      <c r="I563" s="18" t="s">
        <v>825</v>
      </c>
      <c r="J563" s="15">
        <v>1320</v>
      </c>
      <c r="K563" s="15">
        <v>262</v>
      </c>
      <c r="L563" s="20">
        <f t="shared" si="79"/>
        <v>0.19848484848484849</v>
      </c>
      <c r="M563" s="12">
        <v>230</v>
      </c>
      <c r="N563" s="12">
        <v>32</v>
      </c>
      <c r="P563" s="32" t="s">
        <v>500</v>
      </c>
      <c r="Q563" s="23" t="s">
        <v>963</v>
      </c>
    </row>
    <row r="564" spans="1:18">
      <c r="A564" s="25">
        <v>46093</v>
      </c>
      <c r="B564" s="29">
        <v>0.37986111111111115</v>
      </c>
      <c r="C564" s="11">
        <v>46094</v>
      </c>
      <c r="D564" s="24" t="str">
        <f t="shared" ref="D564:D579" si="80">RIGHT(I564,3)</f>
        <v>QRB</v>
      </c>
      <c r="E564" s="13" t="str">
        <f>VLOOKUP(D:D,工作表2!A:B,2,0)</f>
        <v>邦善</v>
      </c>
      <c r="F564" s="13" t="str">
        <f>VLOOKUP(D:D,工作表2!A:C,3,0)</f>
        <v>霧面黑</v>
      </c>
      <c r="G564" s="17">
        <v>10317661</v>
      </c>
      <c r="H564" s="17" t="s">
        <v>170</v>
      </c>
      <c r="I564" s="18" t="s">
        <v>171</v>
      </c>
      <c r="J564" s="15">
        <v>28728</v>
      </c>
      <c r="K564" s="15">
        <v>1528</v>
      </c>
      <c r="L564" s="20">
        <f t="shared" ref="L564:L579" si="81">K564/J564</f>
        <v>5.3188526872737396E-2</v>
      </c>
      <c r="M564" s="12">
        <v>1303</v>
      </c>
      <c r="N564" s="12">
        <v>200</v>
      </c>
      <c r="O564" s="15">
        <v>25</v>
      </c>
      <c r="Q564" s="23"/>
    </row>
    <row r="565" spans="1:18">
      <c r="A565" s="25">
        <v>46091</v>
      </c>
      <c r="B565" s="29">
        <v>0.58194444444444449</v>
      </c>
      <c r="C565" s="19">
        <v>46094</v>
      </c>
      <c r="D565" s="24" t="str">
        <f t="shared" si="80"/>
        <v>4PW</v>
      </c>
      <c r="E565" s="13" t="str">
        <f>VLOOKUP(D:D,工作表2!A:B,2,0)</f>
        <v>敦陽</v>
      </c>
      <c r="F565" s="13" t="str">
        <f>VLOOKUP(D:D,工作表2!A:C,3,0)</f>
        <v>白</v>
      </c>
      <c r="G565" s="17">
        <v>10316410</v>
      </c>
      <c r="H565" s="17" t="s">
        <v>933</v>
      </c>
      <c r="I565" s="18" t="s">
        <v>935</v>
      </c>
      <c r="J565" s="15">
        <v>70</v>
      </c>
      <c r="K565" s="15">
        <v>7</v>
      </c>
      <c r="L565" s="20">
        <f t="shared" si="81"/>
        <v>0.1</v>
      </c>
      <c r="M565" s="12">
        <v>4</v>
      </c>
      <c r="N565" s="12">
        <v>3</v>
      </c>
      <c r="Q565" s="23"/>
    </row>
    <row r="566" spans="1:18">
      <c r="A566" s="25">
        <v>46092</v>
      </c>
      <c r="C566" s="19">
        <v>46094</v>
      </c>
      <c r="D566" s="24" t="str">
        <f t="shared" si="80"/>
        <v>NGW</v>
      </c>
      <c r="E566" s="13" t="str">
        <f>VLOOKUP(D:D,工作表2!A:B,2,0)</f>
        <v>邦善</v>
      </c>
      <c r="F566" s="13" t="str">
        <f>VLOOKUP(D:D,工作表2!A:C,3,0)</f>
        <v>白</v>
      </c>
      <c r="G566" s="17">
        <v>10315727</v>
      </c>
      <c r="H566" s="17" t="s">
        <v>934</v>
      </c>
      <c r="I566" s="18" t="s">
        <v>936</v>
      </c>
      <c r="J566" s="15">
        <v>440</v>
      </c>
      <c r="K566" s="15">
        <v>23</v>
      </c>
      <c r="L566" s="20">
        <f t="shared" si="81"/>
        <v>5.2272727272727269E-2</v>
      </c>
      <c r="M566" s="12">
        <v>14</v>
      </c>
      <c r="N566" s="12">
        <v>9</v>
      </c>
      <c r="Q566" s="23" t="s">
        <v>962</v>
      </c>
    </row>
    <row r="567" spans="1:18">
      <c r="A567" s="25">
        <v>46091</v>
      </c>
      <c r="B567" s="29">
        <v>0.64166666666666672</v>
      </c>
      <c r="C567" s="19">
        <v>46094</v>
      </c>
      <c r="D567" s="24" t="str">
        <f t="shared" si="80"/>
        <v>NEA</v>
      </c>
      <c r="E567" s="13" t="str">
        <f>VLOOKUP(D:D,工作表2!A:B,2,0)</f>
        <v>邦善</v>
      </c>
      <c r="F567" s="13" t="str">
        <f>VLOOKUP(D:D,工作表2!A:C,3,0)</f>
        <v>灰</v>
      </c>
      <c r="G567" s="17">
        <v>10315724</v>
      </c>
      <c r="H567" s="17" t="s">
        <v>563</v>
      </c>
      <c r="I567" s="18" t="s">
        <v>571</v>
      </c>
      <c r="J567" s="15">
        <v>520</v>
      </c>
      <c r="K567" s="15">
        <v>45</v>
      </c>
      <c r="L567" s="20">
        <f t="shared" si="81"/>
        <v>8.6538461538461536E-2</v>
      </c>
      <c r="M567" s="12">
        <v>35</v>
      </c>
      <c r="N567" s="12">
        <v>10</v>
      </c>
      <c r="Q567" s="23" t="s">
        <v>963</v>
      </c>
    </row>
    <row r="568" spans="1:18">
      <c r="A568" s="25">
        <v>46091</v>
      </c>
      <c r="B568" s="29">
        <v>0.5625</v>
      </c>
      <c r="C568" s="19">
        <v>46094</v>
      </c>
      <c r="D568" s="24" t="str">
        <f t="shared" si="80"/>
        <v>N8B</v>
      </c>
      <c r="E568" s="13" t="str">
        <f>VLOOKUP(D:D,工作表2!A:B,2,0)</f>
        <v>邦善</v>
      </c>
      <c r="F568" s="13" t="str">
        <f>VLOOKUP(D:D,工作表2!A:C,3,0)</f>
        <v>霧面黑</v>
      </c>
      <c r="G568" s="17">
        <v>10315708</v>
      </c>
      <c r="H568" s="17" t="s">
        <v>607</v>
      </c>
      <c r="I568" s="18" t="s">
        <v>609</v>
      </c>
      <c r="J568" s="15">
        <v>1608</v>
      </c>
      <c r="K568" s="15">
        <v>96</v>
      </c>
      <c r="L568" s="20">
        <f t="shared" si="81"/>
        <v>5.9701492537313432E-2</v>
      </c>
      <c r="M568" s="12">
        <v>80</v>
      </c>
      <c r="N568" s="12">
        <v>16</v>
      </c>
      <c r="Q568" s="23" t="s">
        <v>961</v>
      </c>
    </row>
    <row r="569" spans="1:18">
      <c r="A569" s="25">
        <v>46092</v>
      </c>
      <c r="B569" s="29">
        <v>0.44861111111111113</v>
      </c>
      <c r="C569" s="11">
        <v>46097</v>
      </c>
      <c r="D569" s="24" t="str">
        <f t="shared" si="80"/>
        <v>N9B</v>
      </c>
      <c r="E569" s="13" t="str">
        <f>VLOOKUP(D:D,工作表2!A:B,2,0)</f>
        <v>邦善</v>
      </c>
      <c r="F569" s="13" t="str">
        <f>VLOOKUP(D:D,工作表2!A:C,3,0)</f>
        <v>黑</v>
      </c>
      <c r="G569" s="17">
        <v>10311415</v>
      </c>
      <c r="H569" s="17" t="s">
        <v>447</v>
      </c>
      <c r="I569" s="18" t="s">
        <v>448</v>
      </c>
      <c r="J569" s="15">
        <v>2128</v>
      </c>
      <c r="K569" s="15">
        <v>270</v>
      </c>
      <c r="L569" s="20">
        <f t="shared" si="81"/>
        <v>0.12687969924812031</v>
      </c>
      <c r="M569" s="12">
        <v>242</v>
      </c>
      <c r="N569" s="12">
        <v>28</v>
      </c>
      <c r="Q569" s="23"/>
    </row>
    <row r="570" spans="1:18">
      <c r="A570" s="25">
        <v>46091</v>
      </c>
      <c r="B570" s="29">
        <v>0.59027777777777779</v>
      </c>
      <c r="C570" s="11">
        <v>46097</v>
      </c>
      <c r="D570" s="24" t="str">
        <f t="shared" si="80"/>
        <v>RRA</v>
      </c>
      <c r="E570" s="13" t="str">
        <f>VLOOKUP(D:D,工作表2!A:B,2,0)</f>
        <v>邦善</v>
      </c>
      <c r="F570" s="13" t="str">
        <f>VLOOKUP(D:D,工作表2!A:C,3,0)</f>
        <v>灰</v>
      </c>
      <c r="G570" s="17">
        <v>10315711</v>
      </c>
      <c r="H570" s="17" t="s">
        <v>544</v>
      </c>
      <c r="I570" s="18" t="s">
        <v>555</v>
      </c>
      <c r="J570" s="15">
        <v>1330</v>
      </c>
      <c r="K570" s="15">
        <v>192</v>
      </c>
      <c r="L570" s="20">
        <f t="shared" si="81"/>
        <v>0.14436090225563911</v>
      </c>
      <c r="M570" s="12">
        <v>179</v>
      </c>
      <c r="N570" s="12">
        <v>13</v>
      </c>
      <c r="Q570" s="23"/>
    </row>
    <row r="571" spans="1:18">
      <c r="A571" s="25">
        <v>46091</v>
      </c>
      <c r="B571" s="29">
        <v>0.58750000000000002</v>
      </c>
      <c r="C571" s="11">
        <v>46097</v>
      </c>
      <c r="D571" s="24" t="str">
        <f t="shared" si="80"/>
        <v>UUS</v>
      </c>
      <c r="E571" s="13" t="str">
        <f>VLOOKUP(D:D,工作表2!A:B,2,0)</f>
        <v>邦善</v>
      </c>
      <c r="F571" s="13" t="str">
        <f>VLOOKUP(D:D,工作表2!A:C,3,0)</f>
        <v>銀</v>
      </c>
      <c r="G571" s="17">
        <v>10315713</v>
      </c>
      <c r="H571" s="17" t="s">
        <v>418</v>
      </c>
      <c r="I571" s="18" t="s">
        <v>421</v>
      </c>
      <c r="J571" s="15">
        <v>798</v>
      </c>
      <c r="K571" s="15">
        <v>50</v>
      </c>
      <c r="L571" s="20">
        <f t="shared" si="81"/>
        <v>6.2656641604010022E-2</v>
      </c>
      <c r="M571" s="12">
        <v>44</v>
      </c>
      <c r="N571" s="12">
        <v>6</v>
      </c>
      <c r="Q571" s="23"/>
    </row>
    <row r="572" spans="1:18">
      <c r="A572" s="25">
        <v>46094</v>
      </c>
      <c r="B572" s="29">
        <v>0.38055555555555554</v>
      </c>
      <c r="C572" s="11">
        <v>46097</v>
      </c>
      <c r="D572" s="24" t="str">
        <f t="shared" si="80"/>
        <v>QRB</v>
      </c>
      <c r="E572" s="13" t="str">
        <f>VLOOKUP(D:D,工作表2!A:B,2,0)</f>
        <v>邦善</v>
      </c>
      <c r="F572" s="13" t="str">
        <f>VLOOKUP(D:D,工作表2!A:C,3,0)</f>
        <v>霧面黑</v>
      </c>
      <c r="G572" s="17">
        <v>10317662</v>
      </c>
      <c r="H572" s="17" t="s">
        <v>170</v>
      </c>
      <c r="I572" s="18" t="s">
        <v>171</v>
      </c>
      <c r="J572" s="15">
        <v>28728</v>
      </c>
      <c r="K572" s="15">
        <v>1519</v>
      </c>
      <c r="L572" s="20">
        <f t="shared" si="81"/>
        <v>5.2875243664717346E-2</v>
      </c>
      <c r="M572" s="12">
        <v>1342</v>
      </c>
      <c r="N572" s="12">
        <v>156</v>
      </c>
      <c r="O572" s="15">
        <v>21</v>
      </c>
      <c r="Q572" s="23"/>
    </row>
    <row r="573" spans="1:18">
      <c r="A573" s="25">
        <v>46091</v>
      </c>
      <c r="B573" s="29">
        <v>0.58333333333333337</v>
      </c>
      <c r="C573" s="11">
        <v>46097</v>
      </c>
      <c r="D573" s="24" t="str">
        <f t="shared" si="80"/>
        <v>UUS</v>
      </c>
      <c r="E573" s="13" t="str">
        <f>VLOOKUP(D:D,工作表2!A:B,2,0)</f>
        <v>邦善</v>
      </c>
      <c r="F573" s="13" t="str">
        <f>VLOOKUP(D:D,工作表2!A:C,3,0)</f>
        <v>銀</v>
      </c>
      <c r="G573" s="17">
        <v>10315719</v>
      </c>
      <c r="H573" s="17" t="s">
        <v>540</v>
      </c>
      <c r="I573" s="18" t="s">
        <v>551</v>
      </c>
      <c r="J573" s="15">
        <v>798</v>
      </c>
      <c r="K573" s="15">
        <v>29</v>
      </c>
      <c r="L573" s="20">
        <f t="shared" si="81"/>
        <v>3.6340852130325813E-2</v>
      </c>
      <c r="M573" s="12">
        <v>25</v>
      </c>
      <c r="N573" s="12">
        <v>4</v>
      </c>
      <c r="Q573" s="23"/>
    </row>
    <row r="574" spans="1:18">
      <c r="A574" s="25">
        <v>46092</v>
      </c>
      <c r="B574" s="29">
        <v>0.6333333333333333</v>
      </c>
      <c r="C574" s="11">
        <v>46097</v>
      </c>
      <c r="D574" s="24" t="str">
        <f t="shared" si="80"/>
        <v>NGW</v>
      </c>
      <c r="E574" s="13" t="str">
        <f>VLOOKUP(D:D,工作表2!A:B,2,0)</f>
        <v>邦善</v>
      </c>
      <c r="F574" s="13" t="str">
        <f>VLOOKUP(D:D,工作表2!A:C,3,0)</f>
        <v>白</v>
      </c>
      <c r="G574" s="17">
        <v>10315729</v>
      </c>
      <c r="H574" s="17" t="s">
        <v>714</v>
      </c>
      <c r="I574" s="18" t="s">
        <v>717</v>
      </c>
      <c r="J574" s="15">
        <v>520</v>
      </c>
      <c r="K574" s="15">
        <v>32</v>
      </c>
      <c r="L574" s="20">
        <f t="shared" si="81"/>
        <v>6.1538461538461542E-2</v>
      </c>
      <c r="M574" s="12">
        <v>19</v>
      </c>
      <c r="N574" s="12">
        <v>13</v>
      </c>
      <c r="Q574" s="23" t="s">
        <v>963</v>
      </c>
    </row>
    <row r="575" spans="1:18">
      <c r="A575" s="25">
        <v>46093</v>
      </c>
      <c r="B575" s="29">
        <v>0.56944444444444442</v>
      </c>
      <c r="C575" s="11">
        <v>46097</v>
      </c>
      <c r="D575" s="24" t="str">
        <f t="shared" si="80"/>
        <v>NGW</v>
      </c>
      <c r="E575" s="13" t="str">
        <f>VLOOKUP(D:D,工作表2!A:B,2,0)</f>
        <v>邦善</v>
      </c>
      <c r="F575" s="13" t="str">
        <f>VLOOKUP(D:D,工作表2!A:C,3,0)</f>
        <v>白</v>
      </c>
      <c r="G575" s="17">
        <v>10315731</v>
      </c>
      <c r="H575" s="17" t="s">
        <v>522</v>
      </c>
      <c r="I575" s="18" t="s">
        <v>534</v>
      </c>
      <c r="J575" s="15">
        <v>440</v>
      </c>
      <c r="K575" s="15">
        <v>36</v>
      </c>
      <c r="L575" s="20">
        <f t="shared" si="81"/>
        <v>8.1818181818181818E-2</v>
      </c>
      <c r="M575" s="12">
        <v>30</v>
      </c>
      <c r="N575" s="12">
        <v>6</v>
      </c>
      <c r="Q575" s="23" t="s">
        <v>962</v>
      </c>
    </row>
    <row r="576" spans="1:18">
      <c r="A576" s="25">
        <v>46092</v>
      </c>
      <c r="B576" s="29">
        <v>0.64930555555555558</v>
      </c>
      <c r="C576" s="11">
        <v>46097</v>
      </c>
      <c r="D576" s="24" t="str">
        <f t="shared" si="80"/>
        <v>NGW</v>
      </c>
      <c r="E576" s="13" t="str">
        <f>VLOOKUP(D:D,工作表2!A:B,2,0)</f>
        <v>邦善</v>
      </c>
      <c r="F576" s="13" t="str">
        <f>VLOOKUP(D:D,工作表2!A:C,3,0)</f>
        <v>白</v>
      </c>
      <c r="G576" s="17">
        <v>10315748</v>
      </c>
      <c r="H576" s="17" t="s">
        <v>517</v>
      </c>
      <c r="I576" s="18" t="s">
        <v>529</v>
      </c>
      <c r="J576" s="15">
        <v>320</v>
      </c>
      <c r="K576" s="15">
        <v>38</v>
      </c>
      <c r="L576" s="20">
        <f t="shared" si="81"/>
        <v>0.11874999999999999</v>
      </c>
      <c r="M576" s="12">
        <v>21</v>
      </c>
      <c r="N576" s="12">
        <v>17</v>
      </c>
      <c r="Q576" s="23" t="s">
        <v>962</v>
      </c>
    </row>
    <row r="577" spans="1:22">
      <c r="A577" s="25">
        <v>46092</v>
      </c>
      <c r="B577" s="29">
        <v>0.65486111111111112</v>
      </c>
      <c r="C577" s="11">
        <v>46097</v>
      </c>
      <c r="D577" s="24" t="str">
        <f t="shared" si="80"/>
        <v>NGW</v>
      </c>
      <c r="E577" s="13" t="str">
        <f>VLOOKUP(D:D,工作表2!A:B,2,0)</f>
        <v>邦善</v>
      </c>
      <c r="F577" s="13" t="str">
        <f>VLOOKUP(D:D,工作表2!A:C,3,0)</f>
        <v>白</v>
      </c>
      <c r="G577" s="17">
        <v>10315749</v>
      </c>
      <c r="H577" s="17" t="s">
        <v>327</v>
      </c>
      <c r="I577" s="18" t="s">
        <v>328</v>
      </c>
      <c r="J577" s="15">
        <v>360</v>
      </c>
      <c r="K577" s="15">
        <v>44</v>
      </c>
      <c r="L577" s="20">
        <f t="shared" si="81"/>
        <v>0.12222222222222222</v>
      </c>
      <c r="M577" s="12">
        <v>34</v>
      </c>
      <c r="N577" s="12">
        <v>10</v>
      </c>
      <c r="Q577" s="23" t="s">
        <v>963</v>
      </c>
    </row>
    <row r="578" spans="1:22">
      <c r="A578" s="25">
        <v>46093</v>
      </c>
      <c r="B578" s="29">
        <v>0.55555555555555558</v>
      </c>
      <c r="C578" s="11">
        <v>46097</v>
      </c>
      <c r="D578" s="24" t="str">
        <f t="shared" si="80"/>
        <v>NGW</v>
      </c>
      <c r="E578" s="13" t="str">
        <f>VLOOKUP(D:D,工作表2!A:B,2,0)</f>
        <v>邦善</v>
      </c>
      <c r="F578" s="13" t="str">
        <f>VLOOKUP(D:D,工作表2!A:C,3,0)</f>
        <v>白</v>
      </c>
      <c r="G578" s="17">
        <v>10315736</v>
      </c>
      <c r="H578" s="17" t="s">
        <v>426</v>
      </c>
      <c r="I578" s="18" t="s">
        <v>431</v>
      </c>
      <c r="J578" s="15">
        <v>520</v>
      </c>
      <c r="K578" s="15">
        <v>86</v>
      </c>
      <c r="L578" s="20">
        <f t="shared" si="81"/>
        <v>0.16538461538461538</v>
      </c>
      <c r="M578" s="12">
        <v>30</v>
      </c>
      <c r="N578" s="12">
        <v>16</v>
      </c>
      <c r="P578" s="59" t="s">
        <v>937</v>
      </c>
      <c r="Q578" s="23" t="s">
        <v>963</v>
      </c>
      <c r="V578" s="15">
        <v>40</v>
      </c>
    </row>
    <row r="579" spans="1:22">
      <c r="A579" s="25">
        <v>46091</v>
      </c>
      <c r="B579" s="29">
        <v>0.57013888888888886</v>
      </c>
      <c r="C579" s="11">
        <v>46097</v>
      </c>
      <c r="D579" s="24" t="str">
        <f t="shared" si="80"/>
        <v>N8B</v>
      </c>
      <c r="E579" s="13" t="str">
        <f>VLOOKUP(D:D,工作表2!A:B,2,0)</f>
        <v>邦善</v>
      </c>
      <c r="F579" s="13" t="str">
        <f>VLOOKUP(D:D,工作表2!A:C,3,0)</f>
        <v>霧面黑</v>
      </c>
      <c r="G579" s="17">
        <v>10315709</v>
      </c>
      <c r="H579" s="17" t="s">
        <v>613</v>
      </c>
      <c r="I579" s="18" t="s">
        <v>620</v>
      </c>
      <c r="J579" s="15">
        <v>1072</v>
      </c>
      <c r="K579" s="15">
        <v>102</v>
      </c>
      <c r="L579" s="20">
        <f t="shared" si="81"/>
        <v>9.5149253731343281E-2</v>
      </c>
      <c r="M579" s="12">
        <v>75</v>
      </c>
      <c r="N579" s="12">
        <v>27</v>
      </c>
      <c r="Q579" s="23" t="s">
        <v>961</v>
      </c>
    </row>
    <row r="580" spans="1:22">
      <c r="A580" s="25">
        <v>46093</v>
      </c>
      <c r="B580" s="29">
        <v>0.63263888888888886</v>
      </c>
      <c r="C580" s="11">
        <v>46098</v>
      </c>
      <c r="D580" s="24" t="str">
        <f t="shared" ref="D580:D594" si="82">RIGHT(I580,3)</f>
        <v>HSS</v>
      </c>
      <c r="E580" s="13" t="str">
        <f>VLOOKUP(D:D,工作表2!A:B,2,0)</f>
        <v>邦善</v>
      </c>
      <c r="F580" s="13" t="str">
        <f>VLOOKUP(D:D,工作表2!A:C,3,0)</f>
        <v>銀</v>
      </c>
      <c r="G580" s="17">
        <v>10319667</v>
      </c>
      <c r="H580" s="17" t="s">
        <v>943</v>
      </c>
      <c r="I580" s="18" t="s">
        <v>949</v>
      </c>
      <c r="J580" s="15">
        <v>60</v>
      </c>
      <c r="K580" s="15">
        <v>3</v>
      </c>
      <c r="L580" s="20">
        <f t="shared" ref="L580:L594" si="83">K580/J580</f>
        <v>0.05</v>
      </c>
      <c r="M580" s="12">
        <v>3</v>
      </c>
      <c r="Q580" s="23"/>
    </row>
    <row r="581" spans="1:22">
      <c r="A581" s="25">
        <v>46094</v>
      </c>
      <c r="B581" s="29">
        <v>0.52638888888888891</v>
      </c>
      <c r="C581" s="11">
        <v>46098</v>
      </c>
      <c r="D581" s="24" t="str">
        <f t="shared" si="82"/>
        <v>JCB</v>
      </c>
      <c r="E581" s="13" t="str">
        <f>VLOOKUP(D:D,工作表2!A:B,2,0)</f>
        <v>邦善</v>
      </c>
      <c r="F581" s="13" t="str">
        <f>VLOOKUP(D:D,工作表2!A:C,3,0)</f>
        <v>黑</v>
      </c>
      <c r="G581" s="17">
        <v>10319668</v>
      </c>
      <c r="H581" s="17" t="s">
        <v>821</v>
      </c>
      <c r="I581" s="18" t="s">
        <v>830</v>
      </c>
      <c r="J581" s="15">
        <v>50</v>
      </c>
      <c r="K581" s="15">
        <v>4</v>
      </c>
      <c r="L581" s="20">
        <f t="shared" si="83"/>
        <v>0.08</v>
      </c>
      <c r="M581" s="12">
        <v>4</v>
      </c>
      <c r="Q581" s="23"/>
    </row>
    <row r="582" spans="1:22">
      <c r="A582" s="25">
        <v>46094</v>
      </c>
      <c r="B582" s="29">
        <v>0.52708333333333335</v>
      </c>
      <c r="C582" s="19">
        <v>46098</v>
      </c>
      <c r="D582" s="24" t="str">
        <f t="shared" si="82"/>
        <v>MHA</v>
      </c>
      <c r="E582" s="13" t="str">
        <f>VLOOKUP(D:D,工作表2!A:B,2,0)</f>
        <v>邦善</v>
      </c>
      <c r="F582" s="13" t="str">
        <f>VLOOKUP(D:D,工作表2!A:C,3,0)</f>
        <v>灰</v>
      </c>
      <c r="G582" s="17">
        <v>10319669</v>
      </c>
      <c r="H582" s="17" t="s">
        <v>942</v>
      </c>
      <c r="I582" s="18" t="s">
        <v>948</v>
      </c>
      <c r="J582" s="15">
        <v>40</v>
      </c>
      <c r="K582" s="15">
        <v>5</v>
      </c>
      <c r="L582" s="20">
        <f t="shared" si="83"/>
        <v>0.125</v>
      </c>
      <c r="M582" s="12">
        <v>4</v>
      </c>
      <c r="N582" s="12">
        <v>1</v>
      </c>
      <c r="Q582" s="23"/>
    </row>
    <row r="583" spans="1:22">
      <c r="A583" s="25">
        <v>46097</v>
      </c>
      <c r="B583" s="29">
        <v>0.56458333333333333</v>
      </c>
      <c r="C583" s="19">
        <v>46098</v>
      </c>
      <c r="D583" s="24" t="str">
        <f t="shared" si="82"/>
        <v>PLB</v>
      </c>
      <c r="E583" s="13" t="str">
        <f>VLOOKUP(D:D,工作表2!A:B,2,0)</f>
        <v>邦善</v>
      </c>
      <c r="F583" s="13" t="str">
        <f>VLOOKUP(D:D,工作表2!A:C,3,0)</f>
        <v>霧面黑</v>
      </c>
      <c r="G583" s="17">
        <v>10317935</v>
      </c>
      <c r="H583" s="17" t="s">
        <v>408</v>
      </c>
      <c r="I583" s="18" t="s">
        <v>411</v>
      </c>
      <c r="J583" s="15">
        <v>2128</v>
      </c>
      <c r="K583" s="15">
        <v>94</v>
      </c>
      <c r="L583" s="20">
        <f t="shared" si="83"/>
        <v>4.4172932330827065E-2</v>
      </c>
      <c r="M583" s="12">
        <v>70</v>
      </c>
      <c r="N583" s="12">
        <v>24</v>
      </c>
      <c r="Q583" s="23"/>
    </row>
    <row r="584" spans="1:22">
      <c r="A584" s="25">
        <v>46097</v>
      </c>
      <c r="B584" s="29">
        <v>0.41041666666666665</v>
      </c>
      <c r="C584" s="19">
        <v>46098</v>
      </c>
      <c r="D584" s="24" t="str">
        <f t="shared" si="82"/>
        <v>QRB</v>
      </c>
      <c r="E584" s="13" t="str">
        <f>VLOOKUP(D:D,工作表2!A:B,2,0)</f>
        <v>邦善</v>
      </c>
      <c r="F584" s="13" t="str">
        <f>VLOOKUP(D:D,工作表2!A:C,3,0)</f>
        <v>霧面黑</v>
      </c>
      <c r="G584" s="17">
        <v>10317663</v>
      </c>
      <c r="H584" s="17" t="s">
        <v>170</v>
      </c>
      <c r="I584" s="18" t="s">
        <v>171</v>
      </c>
      <c r="J584" s="15">
        <v>22344</v>
      </c>
      <c r="K584" s="15">
        <v>1011</v>
      </c>
      <c r="L584" s="20">
        <f t="shared" si="83"/>
        <v>4.524704618689581E-2</v>
      </c>
      <c r="M584" s="12">
        <v>884</v>
      </c>
      <c r="N584" s="12">
        <v>98</v>
      </c>
      <c r="O584" s="15">
        <v>29</v>
      </c>
      <c r="Q584" s="23"/>
    </row>
    <row r="585" spans="1:22">
      <c r="A585" s="25">
        <v>46097</v>
      </c>
      <c r="B585" s="29">
        <v>0.54027777777777775</v>
      </c>
      <c r="C585" s="19">
        <v>46098</v>
      </c>
      <c r="D585" s="24" t="str">
        <f t="shared" si="82"/>
        <v>TZB</v>
      </c>
      <c r="E585" s="13" t="str">
        <f>VLOOKUP(D:D,工作表2!A:B,2,0)</f>
        <v>邦善</v>
      </c>
      <c r="F585" s="13" t="str">
        <f>VLOOKUP(D:D,工作表2!A:C,3,0)</f>
        <v>黑</v>
      </c>
      <c r="G585" s="17">
        <v>10317659</v>
      </c>
      <c r="H585" s="17" t="s">
        <v>644</v>
      </c>
      <c r="I585" s="18" t="s">
        <v>654</v>
      </c>
      <c r="J585" s="15">
        <v>5852</v>
      </c>
      <c r="K585" s="15">
        <v>341</v>
      </c>
      <c r="L585" s="20">
        <f t="shared" si="83"/>
        <v>5.827067669172932E-2</v>
      </c>
      <c r="M585" s="12">
        <v>300</v>
      </c>
      <c r="N585" s="12">
        <v>41</v>
      </c>
      <c r="Q585" s="23"/>
    </row>
    <row r="586" spans="1:22">
      <c r="A586" s="25">
        <v>46093</v>
      </c>
      <c r="B586" s="29">
        <v>0.63541666666666663</v>
      </c>
      <c r="C586" s="19">
        <v>46098</v>
      </c>
      <c r="D586" s="24" t="str">
        <f t="shared" si="82"/>
        <v>75W</v>
      </c>
      <c r="E586" s="13" t="str">
        <f>VLOOKUP(D:D,工作表2!A:B,2,0)</f>
        <v>敦陽</v>
      </c>
      <c r="F586" s="13" t="str">
        <f>VLOOKUP(D:D,工作表2!A:C,3,0)</f>
        <v>白</v>
      </c>
      <c r="G586" s="17">
        <v>10320308</v>
      </c>
      <c r="H586" s="17" t="s">
        <v>419</v>
      </c>
      <c r="I586" s="18" t="s">
        <v>422</v>
      </c>
      <c r="J586" s="15">
        <v>100</v>
      </c>
      <c r="K586" s="15">
        <v>10</v>
      </c>
      <c r="L586" s="20">
        <f t="shared" si="83"/>
        <v>0.1</v>
      </c>
      <c r="M586" s="12">
        <v>8</v>
      </c>
      <c r="N586" s="12">
        <v>2</v>
      </c>
      <c r="Q586" s="23"/>
    </row>
    <row r="587" spans="1:22">
      <c r="A587" s="25">
        <v>46091</v>
      </c>
      <c r="B587" s="29">
        <v>0.58333333333333337</v>
      </c>
      <c r="C587" s="19">
        <v>46098</v>
      </c>
      <c r="D587" s="24" t="str">
        <f t="shared" si="82"/>
        <v>19W</v>
      </c>
      <c r="E587" s="13" t="str">
        <f>VLOOKUP(D:D,工作表2!A:B,2,0)</f>
        <v>敦陽</v>
      </c>
      <c r="F587" s="13" t="str">
        <f>VLOOKUP(D:D,工作表2!A:C,3,0)</f>
        <v>白</v>
      </c>
      <c r="G587" s="17">
        <v>10320302</v>
      </c>
      <c r="H587" s="17" t="s">
        <v>672</v>
      </c>
      <c r="I587" s="18" t="s">
        <v>687</v>
      </c>
      <c r="J587" s="15">
        <v>30</v>
      </c>
      <c r="K587" s="15">
        <v>2</v>
      </c>
      <c r="L587" s="20">
        <f t="shared" si="83"/>
        <v>6.6666666666666666E-2</v>
      </c>
      <c r="M587" s="12">
        <v>2</v>
      </c>
      <c r="Q587" s="23" t="s">
        <v>961</v>
      </c>
    </row>
    <row r="588" spans="1:22">
      <c r="A588" s="25">
        <v>46097</v>
      </c>
      <c r="B588" s="29">
        <v>0.58402777777777781</v>
      </c>
      <c r="C588" s="19">
        <v>46098</v>
      </c>
      <c r="D588" s="24" t="str">
        <f t="shared" si="82"/>
        <v>H3R</v>
      </c>
      <c r="E588" s="13" t="str">
        <f>VLOOKUP(D:D,工作表2!A:B,2,0)</f>
        <v>敦陽</v>
      </c>
      <c r="F588" s="13" t="str">
        <f>VLOOKUP(D:D,工作表2!A:C,3,0)</f>
        <v>紅</v>
      </c>
      <c r="G588" s="17">
        <v>10316412</v>
      </c>
      <c r="H588" s="17" t="s">
        <v>938</v>
      </c>
      <c r="I588" s="18" t="s">
        <v>944</v>
      </c>
      <c r="J588" s="15">
        <v>30</v>
      </c>
      <c r="K588" s="15">
        <v>9</v>
      </c>
      <c r="L588" s="20">
        <f t="shared" si="83"/>
        <v>0.3</v>
      </c>
      <c r="M588" s="12">
        <v>7</v>
      </c>
      <c r="N588" s="12">
        <v>2</v>
      </c>
      <c r="Q588" s="23"/>
    </row>
    <row r="589" spans="1:22">
      <c r="A589" s="25">
        <v>46094</v>
      </c>
      <c r="B589" s="29">
        <v>0.53055555555555556</v>
      </c>
      <c r="C589" s="19">
        <v>46098</v>
      </c>
      <c r="D589" s="24" t="str">
        <f t="shared" si="82"/>
        <v>NQB</v>
      </c>
      <c r="E589" s="13" t="str">
        <f>VLOOKUP(D:D,工作表2!A:B,2,0)</f>
        <v>邦善</v>
      </c>
      <c r="F589" s="13" t="str">
        <f>VLOOKUP(D:D,工作表2!A:C,3,0)</f>
        <v>黑</v>
      </c>
      <c r="G589" s="17">
        <v>10315728</v>
      </c>
      <c r="H589" s="17" t="s">
        <v>728</v>
      </c>
      <c r="I589" s="18" t="s">
        <v>735</v>
      </c>
      <c r="J589" s="15">
        <v>560</v>
      </c>
      <c r="K589" s="15">
        <v>79</v>
      </c>
      <c r="L589" s="20">
        <f t="shared" si="83"/>
        <v>0.14107142857142857</v>
      </c>
      <c r="M589" s="12">
        <v>60</v>
      </c>
      <c r="N589" s="12">
        <v>19</v>
      </c>
      <c r="Q589" s="23" t="s">
        <v>962</v>
      </c>
    </row>
    <row r="590" spans="1:22">
      <c r="A590" s="25">
        <v>46093</v>
      </c>
      <c r="B590" s="29">
        <v>0.59166666666666667</v>
      </c>
      <c r="C590" s="19">
        <v>46098</v>
      </c>
      <c r="D590" s="24" t="str">
        <f t="shared" si="82"/>
        <v>NRR</v>
      </c>
      <c r="E590" s="13" t="str">
        <f>VLOOKUP(D:D,工作表2!A:B,2,0)</f>
        <v>邦善</v>
      </c>
      <c r="F590" s="13" t="str">
        <f>VLOOKUP(D:D,工作表2!A:C,3,0)</f>
        <v>紅</v>
      </c>
      <c r="G590" s="17">
        <v>10315732</v>
      </c>
      <c r="H590" s="17" t="s">
        <v>940</v>
      </c>
      <c r="I590" s="18" t="s">
        <v>946</v>
      </c>
      <c r="J590" s="15">
        <v>440</v>
      </c>
      <c r="K590" s="15">
        <v>41</v>
      </c>
      <c r="L590" s="20">
        <f t="shared" si="83"/>
        <v>9.3181818181818185E-2</v>
      </c>
      <c r="M590" s="12">
        <v>32</v>
      </c>
      <c r="N590" s="12">
        <v>9</v>
      </c>
      <c r="Q590" s="23" t="s">
        <v>962</v>
      </c>
    </row>
    <row r="591" spans="1:22">
      <c r="A591" s="25">
        <v>46093</v>
      </c>
      <c r="B591" s="29">
        <v>0.59791666666666665</v>
      </c>
      <c r="C591" s="19">
        <v>46098</v>
      </c>
      <c r="D591" s="24" t="str">
        <f t="shared" si="82"/>
        <v>NRR</v>
      </c>
      <c r="E591" s="13" t="str">
        <f>VLOOKUP(D:D,工作表2!A:B,2,0)</f>
        <v>邦善</v>
      </c>
      <c r="F591" s="13" t="str">
        <f>VLOOKUP(D:D,工作表2!A:C,3,0)</f>
        <v>紅</v>
      </c>
      <c r="G591" s="17">
        <v>10315734</v>
      </c>
      <c r="H591" s="17" t="s">
        <v>941</v>
      </c>
      <c r="I591" s="18" t="s">
        <v>947</v>
      </c>
      <c r="J591" s="15">
        <v>200</v>
      </c>
      <c r="K591" s="15">
        <v>24</v>
      </c>
      <c r="L591" s="20">
        <f t="shared" si="83"/>
        <v>0.12</v>
      </c>
      <c r="M591" s="12">
        <v>20</v>
      </c>
      <c r="N591" s="12">
        <v>4</v>
      </c>
      <c r="Q591" s="23" t="s">
        <v>963</v>
      </c>
    </row>
    <row r="592" spans="1:22">
      <c r="A592" s="25">
        <v>46094</v>
      </c>
      <c r="B592" s="29">
        <v>0.5444444444444444</v>
      </c>
      <c r="C592" s="19">
        <v>46098</v>
      </c>
      <c r="D592" s="24" t="str">
        <f t="shared" si="82"/>
        <v>NQB</v>
      </c>
      <c r="E592" s="13" t="str">
        <f>VLOOKUP(D:D,工作表2!A:B,2,0)</f>
        <v>邦善</v>
      </c>
      <c r="F592" s="13" t="str">
        <f>VLOOKUP(D:D,工作表2!A:C,3,0)</f>
        <v>黑</v>
      </c>
      <c r="G592" s="17">
        <v>10315730</v>
      </c>
      <c r="H592" s="17" t="s">
        <v>635</v>
      </c>
      <c r="I592" s="18" t="s">
        <v>641</v>
      </c>
      <c r="J592" s="15">
        <v>480</v>
      </c>
      <c r="K592" s="15">
        <v>81</v>
      </c>
      <c r="L592" s="20">
        <f t="shared" si="83"/>
        <v>0.16875000000000001</v>
      </c>
      <c r="M592" s="12">
        <v>35</v>
      </c>
      <c r="N592" s="12">
        <v>16</v>
      </c>
      <c r="P592" s="59" t="s">
        <v>950</v>
      </c>
      <c r="Q592" s="23" t="s">
        <v>962</v>
      </c>
      <c r="U592" s="12">
        <v>30</v>
      </c>
    </row>
    <row r="593" spans="1:17">
      <c r="A593" s="25">
        <v>46093</v>
      </c>
      <c r="B593" s="29">
        <v>0.58888888888888891</v>
      </c>
      <c r="C593" s="19">
        <v>46098</v>
      </c>
      <c r="D593" s="24" t="str">
        <f t="shared" si="82"/>
        <v>NRR</v>
      </c>
      <c r="E593" s="13" t="str">
        <f>VLOOKUP(D:D,工作表2!A:B,2,0)</f>
        <v>邦善</v>
      </c>
      <c r="F593" s="13" t="str">
        <f>VLOOKUP(D:D,工作表2!A:C,3,0)</f>
        <v>紅</v>
      </c>
      <c r="G593" s="17">
        <v>10315743</v>
      </c>
      <c r="H593" s="17" t="s">
        <v>596</v>
      </c>
      <c r="I593" s="18" t="s">
        <v>604</v>
      </c>
      <c r="J593" s="15">
        <v>280</v>
      </c>
      <c r="K593" s="15">
        <v>19</v>
      </c>
      <c r="L593" s="20">
        <f t="shared" si="83"/>
        <v>6.7857142857142852E-2</v>
      </c>
      <c r="M593" s="12">
        <v>14</v>
      </c>
      <c r="N593" s="12">
        <v>5</v>
      </c>
      <c r="Q593" s="23"/>
    </row>
    <row r="594" spans="1:17">
      <c r="A594" s="25">
        <v>46092</v>
      </c>
      <c r="B594" s="29">
        <v>0.40625</v>
      </c>
      <c r="C594" s="19">
        <v>46098</v>
      </c>
      <c r="D594" s="24" t="str">
        <f t="shared" si="82"/>
        <v>Q9B</v>
      </c>
      <c r="E594" s="13" t="str">
        <f>VLOOKUP(D:D,工作表2!A:B,2,0)</f>
        <v>邦善</v>
      </c>
      <c r="F594" s="13" t="str">
        <f>VLOOKUP(D:D,工作表2!A:C,3,0)</f>
        <v>黑</v>
      </c>
      <c r="G594" s="17">
        <v>10318273</v>
      </c>
      <c r="H594" s="17" t="s">
        <v>939</v>
      </c>
      <c r="I594" s="18" t="s">
        <v>945</v>
      </c>
      <c r="J594" s="15">
        <v>1000</v>
      </c>
      <c r="K594" s="15">
        <v>372</v>
      </c>
      <c r="L594" s="20">
        <f t="shared" si="83"/>
        <v>0.372</v>
      </c>
      <c r="M594" s="12">
        <v>222</v>
      </c>
      <c r="N594" s="12">
        <v>150</v>
      </c>
      <c r="P594" s="32" t="s">
        <v>977</v>
      </c>
      <c r="Q594" s="23" t="s">
        <v>962</v>
      </c>
    </row>
    <row r="595" spans="1:17">
      <c r="A595" s="25">
        <v>46098</v>
      </c>
      <c r="B595" s="29">
        <v>0.37638888888888888</v>
      </c>
      <c r="C595" s="11">
        <v>46099</v>
      </c>
      <c r="D595" s="24" t="str">
        <f t="shared" ref="D595:D609" si="84">RIGHT(I595,3)</f>
        <v>QRB</v>
      </c>
      <c r="E595" s="13" t="str">
        <f>VLOOKUP(D:D,工作表2!A:B,2,0)</f>
        <v>邦善</v>
      </c>
      <c r="F595" s="13" t="str">
        <f>VLOOKUP(D:D,工作表2!A:C,3,0)</f>
        <v>霧面黑</v>
      </c>
      <c r="G595" s="17">
        <v>10317664</v>
      </c>
      <c r="H595" s="17" t="s">
        <v>170</v>
      </c>
      <c r="I595" s="18" t="s">
        <v>171</v>
      </c>
      <c r="J595" s="15">
        <v>28728</v>
      </c>
      <c r="K595" s="15">
        <v>952</v>
      </c>
      <c r="L595" s="20">
        <f t="shared" ref="L595:L609" si="85">K595/J595</f>
        <v>3.3138401559454189E-2</v>
      </c>
      <c r="M595" s="12">
        <v>580</v>
      </c>
      <c r="N595" s="12">
        <v>353</v>
      </c>
      <c r="O595" s="15">
        <v>19</v>
      </c>
      <c r="Q595" s="23"/>
    </row>
    <row r="596" spans="1:17">
      <c r="A596" s="25">
        <v>46093</v>
      </c>
      <c r="B596" s="29">
        <v>0.65277777777777779</v>
      </c>
      <c r="C596" s="11">
        <v>46099</v>
      </c>
      <c r="D596" s="24" t="str">
        <f t="shared" si="84"/>
        <v>09B</v>
      </c>
      <c r="E596" s="13" t="str">
        <f>VLOOKUP(D:D,工作表2!A:B,2,0)</f>
        <v>邦善</v>
      </c>
      <c r="F596" s="13" t="str">
        <f>VLOOKUP(D:D,工作表2!A:C,3,0)</f>
        <v>黑</v>
      </c>
      <c r="G596" s="17">
        <v>10320306</v>
      </c>
      <c r="H596" s="17" t="s">
        <v>838</v>
      </c>
      <c r="I596" s="18" t="s">
        <v>851</v>
      </c>
      <c r="J596" s="15">
        <v>40</v>
      </c>
      <c r="K596" s="15">
        <v>5</v>
      </c>
      <c r="L596" s="20">
        <f t="shared" si="85"/>
        <v>0.125</v>
      </c>
      <c r="M596" s="12">
        <v>4</v>
      </c>
      <c r="N596" s="12">
        <v>1</v>
      </c>
      <c r="Q596" s="23"/>
    </row>
    <row r="597" spans="1:17">
      <c r="A597" s="25">
        <v>46093</v>
      </c>
      <c r="B597" s="29">
        <v>0.62847222222222221</v>
      </c>
      <c r="C597" s="19">
        <v>46099</v>
      </c>
      <c r="D597" s="24" t="str">
        <f t="shared" si="84"/>
        <v>71A</v>
      </c>
      <c r="E597" s="13" t="str">
        <f>VLOOKUP(D:D,工作表2!A:B,2,0)</f>
        <v>敦陽</v>
      </c>
      <c r="F597" s="13" t="str">
        <f>VLOOKUP(D:D,工作表2!A:C,3,0)</f>
        <v>灰</v>
      </c>
      <c r="G597" s="17">
        <v>10320307</v>
      </c>
      <c r="H597" s="17" t="s">
        <v>837</v>
      </c>
      <c r="I597" s="18" t="s">
        <v>850</v>
      </c>
      <c r="J597" s="15">
        <v>80</v>
      </c>
      <c r="K597" s="15">
        <v>5</v>
      </c>
      <c r="L597" s="20">
        <f t="shared" si="85"/>
        <v>6.25E-2</v>
      </c>
      <c r="M597" s="12">
        <v>3</v>
      </c>
      <c r="N597" s="12">
        <v>2</v>
      </c>
      <c r="Q597" s="23"/>
    </row>
    <row r="598" spans="1:17">
      <c r="A598" s="25">
        <v>46094</v>
      </c>
      <c r="B598" s="29">
        <v>0.52500000000000002</v>
      </c>
      <c r="C598" s="19">
        <v>46099</v>
      </c>
      <c r="D598" s="24" t="str">
        <f t="shared" si="84"/>
        <v>WKL</v>
      </c>
      <c r="E598" s="13" t="str">
        <f>VLOOKUP(D:D,工作表2!A:B,2,0)</f>
        <v>邦善</v>
      </c>
      <c r="F598" s="13" t="str">
        <f>VLOOKUP(D:D,工作表2!A:C,3,0)</f>
        <v>銀</v>
      </c>
      <c r="G598" s="17">
        <v>10320300</v>
      </c>
      <c r="H598" s="17" t="s">
        <v>951</v>
      </c>
      <c r="I598" s="18" t="s">
        <v>954</v>
      </c>
      <c r="J598" s="15">
        <v>30</v>
      </c>
      <c r="K598" s="15">
        <v>2</v>
      </c>
      <c r="L598" s="20">
        <f t="shared" si="85"/>
        <v>6.6666666666666666E-2</v>
      </c>
      <c r="M598" s="12">
        <v>2</v>
      </c>
      <c r="Q598" s="23"/>
    </row>
    <row r="599" spans="1:17">
      <c r="A599" s="25">
        <v>46093</v>
      </c>
      <c r="B599" s="29">
        <v>0.65347222222222223</v>
      </c>
      <c r="C599" s="19">
        <v>46099</v>
      </c>
      <c r="D599" s="24" t="str">
        <f t="shared" si="84"/>
        <v>09B</v>
      </c>
      <c r="E599" s="13" t="str">
        <f>VLOOKUP(D:D,工作表2!A:B,2,0)</f>
        <v>邦善</v>
      </c>
      <c r="F599" s="13" t="str">
        <f>VLOOKUP(D:D,工作表2!A:C,3,0)</f>
        <v>黑</v>
      </c>
      <c r="G599" s="17">
        <v>10320301</v>
      </c>
      <c r="H599" s="17" t="s">
        <v>847</v>
      </c>
      <c r="I599" s="18" t="s">
        <v>860</v>
      </c>
      <c r="J599" s="15">
        <v>40</v>
      </c>
      <c r="K599" s="15">
        <v>3</v>
      </c>
      <c r="L599" s="20">
        <f t="shared" si="85"/>
        <v>7.4999999999999997E-2</v>
      </c>
      <c r="M599" s="12">
        <v>3</v>
      </c>
      <c r="Q599" s="23" t="s">
        <v>961</v>
      </c>
    </row>
    <row r="600" spans="1:17">
      <c r="A600" s="25">
        <v>46093</v>
      </c>
      <c r="B600" s="29">
        <v>0.62986111111111109</v>
      </c>
      <c r="C600" s="19">
        <v>46099</v>
      </c>
      <c r="D600" s="24" t="str">
        <f t="shared" si="84"/>
        <v>71A</v>
      </c>
      <c r="E600" s="13" t="str">
        <f>VLOOKUP(D:D,工作表2!A:B,2,0)</f>
        <v>敦陽</v>
      </c>
      <c r="F600" s="13" t="str">
        <f>VLOOKUP(D:D,工作表2!A:C,3,0)</f>
        <v>灰</v>
      </c>
      <c r="G600" s="17">
        <v>10320303</v>
      </c>
      <c r="H600" s="17" t="s">
        <v>678</v>
      </c>
      <c r="I600" s="18" t="s">
        <v>693</v>
      </c>
      <c r="J600" s="15">
        <v>50</v>
      </c>
      <c r="K600" s="15">
        <v>7</v>
      </c>
      <c r="L600" s="20">
        <f t="shared" si="85"/>
        <v>0.14000000000000001</v>
      </c>
      <c r="M600" s="12">
        <v>5</v>
      </c>
      <c r="N600" s="12">
        <v>2</v>
      </c>
      <c r="Q600" s="23" t="s">
        <v>961</v>
      </c>
    </row>
    <row r="601" spans="1:17">
      <c r="A601" s="25">
        <v>46093</v>
      </c>
      <c r="B601" s="29">
        <v>0.53125</v>
      </c>
      <c r="C601" s="19">
        <v>46099</v>
      </c>
      <c r="D601" s="24" t="str">
        <f t="shared" si="84"/>
        <v>SYL</v>
      </c>
      <c r="E601" s="13" t="str">
        <f>VLOOKUP(D:D,工作表2!A:B,2,0)</f>
        <v>邦善</v>
      </c>
      <c r="F601" s="13" t="str">
        <f>VLOOKUP(D:D,工作表2!A:C,3,0)</f>
        <v>藍</v>
      </c>
      <c r="G601" s="17">
        <v>10315738</v>
      </c>
      <c r="H601" s="17" t="s">
        <v>787</v>
      </c>
      <c r="I601" s="18" t="s">
        <v>793</v>
      </c>
      <c r="J601" s="15">
        <v>400</v>
      </c>
      <c r="K601" s="15">
        <v>17</v>
      </c>
      <c r="L601" s="20">
        <f t="shared" si="85"/>
        <v>4.2500000000000003E-2</v>
      </c>
      <c r="M601" s="12">
        <v>12</v>
      </c>
      <c r="N601" s="12">
        <v>5</v>
      </c>
      <c r="Q601" s="23" t="s">
        <v>963</v>
      </c>
    </row>
    <row r="602" spans="1:17">
      <c r="A602" s="25">
        <v>46093</v>
      </c>
      <c r="B602" s="29">
        <v>0.54375000000000007</v>
      </c>
      <c r="C602" s="19">
        <v>46099</v>
      </c>
      <c r="D602" s="24" t="str">
        <f t="shared" si="84"/>
        <v>SYL</v>
      </c>
      <c r="E602" s="13" t="str">
        <f>VLOOKUP(D:D,工作表2!A:B,2,0)</f>
        <v>邦善</v>
      </c>
      <c r="F602" s="13" t="str">
        <f>VLOOKUP(D:D,工作表2!A:C,3,0)</f>
        <v>藍</v>
      </c>
      <c r="G602" s="17">
        <v>10315739</v>
      </c>
      <c r="H602" s="17" t="s">
        <v>835</v>
      </c>
      <c r="I602" s="18" t="s">
        <v>836</v>
      </c>
      <c r="J602" s="15">
        <v>360</v>
      </c>
      <c r="K602" s="15">
        <v>11</v>
      </c>
      <c r="L602" s="20">
        <f t="shared" si="85"/>
        <v>3.0555555555555555E-2</v>
      </c>
      <c r="M602" s="12">
        <v>7</v>
      </c>
      <c r="N602" s="12">
        <v>4</v>
      </c>
      <c r="Q602" s="23" t="s">
        <v>962</v>
      </c>
    </row>
    <row r="603" spans="1:17">
      <c r="A603" s="25">
        <v>46097</v>
      </c>
      <c r="B603" s="29">
        <v>0.37916666666666665</v>
      </c>
      <c r="C603" s="19">
        <v>46099</v>
      </c>
      <c r="D603" s="24" t="str">
        <f t="shared" si="84"/>
        <v>Q9B</v>
      </c>
      <c r="E603" s="13" t="str">
        <f>VLOOKUP(D:D,工作表2!A:B,2,0)</f>
        <v>邦善</v>
      </c>
      <c r="F603" s="13" t="str">
        <f>VLOOKUP(D:D,工作表2!A:C,3,0)</f>
        <v>黑</v>
      </c>
      <c r="G603" s="17">
        <v>10318274</v>
      </c>
      <c r="H603" s="17" t="s">
        <v>939</v>
      </c>
      <c r="I603" s="18" t="s">
        <v>945</v>
      </c>
      <c r="J603" s="15">
        <v>1000</v>
      </c>
      <c r="K603" s="15">
        <v>271</v>
      </c>
      <c r="L603" s="20">
        <f t="shared" si="85"/>
        <v>0.27100000000000002</v>
      </c>
      <c r="M603" s="12">
        <v>150</v>
      </c>
      <c r="N603" s="12">
        <v>121</v>
      </c>
      <c r="P603" s="32" t="s">
        <v>977</v>
      </c>
      <c r="Q603" s="23" t="s">
        <v>962</v>
      </c>
    </row>
    <row r="604" spans="1:17">
      <c r="A604" s="25">
        <v>46093</v>
      </c>
      <c r="B604" s="29">
        <v>0.52083333333333337</v>
      </c>
      <c r="C604" s="19">
        <v>46099</v>
      </c>
      <c r="D604" s="24" t="str">
        <f t="shared" si="84"/>
        <v>Q9B</v>
      </c>
      <c r="E604" s="13" t="str">
        <f>VLOOKUP(D:D,工作表2!A:B,2,0)</f>
        <v>邦善</v>
      </c>
      <c r="F604" s="13" t="str">
        <f>VLOOKUP(D:D,工作表2!A:C,3,0)</f>
        <v>黑</v>
      </c>
      <c r="G604" s="17">
        <v>10315747</v>
      </c>
      <c r="H604" s="17" t="s">
        <v>730</v>
      </c>
      <c r="I604" s="18" t="s">
        <v>737</v>
      </c>
      <c r="J604" s="15">
        <v>360</v>
      </c>
      <c r="K604" s="15">
        <v>53</v>
      </c>
      <c r="L604" s="20">
        <f t="shared" si="85"/>
        <v>0.14722222222222223</v>
      </c>
      <c r="M604" s="12">
        <v>40</v>
      </c>
      <c r="N604" s="12">
        <v>13</v>
      </c>
      <c r="Q604" s="23" t="s">
        <v>963</v>
      </c>
    </row>
    <row r="605" spans="1:17">
      <c r="A605" s="25">
        <v>46097</v>
      </c>
      <c r="B605" s="29">
        <v>0.3972222222222222</v>
      </c>
      <c r="C605" s="19">
        <v>46099</v>
      </c>
      <c r="D605" s="24" t="str">
        <f t="shared" si="84"/>
        <v>Q9B</v>
      </c>
      <c r="E605" s="13" t="str">
        <f>VLOOKUP(D:D,工作表2!A:B,2,0)</f>
        <v>邦善</v>
      </c>
      <c r="F605" s="13" t="str">
        <f>VLOOKUP(D:D,工作表2!A:C,3,0)</f>
        <v>黑</v>
      </c>
      <c r="G605" s="17">
        <v>10315746</v>
      </c>
      <c r="H605" s="17" t="s">
        <v>631</v>
      </c>
      <c r="I605" s="18" t="s">
        <v>637</v>
      </c>
      <c r="J605" s="15">
        <v>400</v>
      </c>
      <c r="K605" s="15">
        <v>53</v>
      </c>
      <c r="L605" s="20">
        <f t="shared" si="85"/>
        <v>0.13250000000000001</v>
      </c>
      <c r="M605" s="12">
        <v>30</v>
      </c>
      <c r="N605" s="12">
        <v>23</v>
      </c>
      <c r="Q605" s="23" t="s">
        <v>962</v>
      </c>
    </row>
    <row r="606" spans="1:17">
      <c r="A606" s="25">
        <v>46097</v>
      </c>
      <c r="B606" s="29">
        <v>0.57638888888888895</v>
      </c>
      <c r="C606" s="19">
        <v>46099</v>
      </c>
      <c r="D606" s="24" t="str">
        <f t="shared" si="84"/>
        <v>NGW</v>
      </c>
      <c r="E606" s="13" t="str">
        <f>VLOOKUP(D:D,工作表2!A:B,2,0)</f>
        <v>邦善</v>
      </c>
      <c r="F606" s="13" t="str">
        <f>VLOOKUP(D:D,工作表2!A:C,3,0)</f>
        <v>白</v>
      </c>
      <c r="G606" s="17">
        <v>10322603</v>
      </c>
      <c r="H606" s="17" t="s">
        <v>521</v>
      </c>
      <c r="I606" s="18" t="s">
        <v>533</v>
      </c>
      <c r="J606" s="15">
        <v>268</v>
      </c>
      <c r="K606" s="15">
        <v>41</v>
      </c>
      <c r="L606" s="20">
        <f t="shared" si="85"/>
        <v>0.15298507462686567</v>
      </c>
      <c r="M606" s="12">
        <v>23</v>
      </c>
      <c r="N606" s="12">
        <v>18</v>
      </c>
      <c r="Q606" s="23" t="s">
        <v>961</v>
      </c>
    </row>
    <row r="607" spans="1:17">
      <c r="A607" s="25">
        <v>46097</v>
      </c>
      <c r="B607" s="29">
        <v>0.57361111111111118</v>
      </c>
      <c r="C607" s="19">
        <v>46099</v>
      </c>
      <c r="D607" s="24" t="str">
        <f t="shared" si="84"/>
        <v>R7A</v>
      </c>
      <c r="E607" s="13" t="str">
        <f>VLOOKUP(D:D,工作表2!A:B,2,0)</f>
        <v>邦善</v>
      </c>
      <c r="F607" s="13" t="str">
        <f>VLOOKUP(D:D,工作表2!A:C,3,0)</f>
        <v>灰</v>
      </c>
      <c r="G607" s="17">
        <v>10315721</v>
      </c>
      <c r="H607" s="17" t="s">
        <v>775</v>
      </c>
      <c r="I607" s="18" t="s">
        <v>780</v>
      </c>
      <c r="J607" s="15">
        <v>938</v>
      </c>
      <c r="K607" s="15">
        <v>133</v>
      </c>
      <c r="L607" s="20">
        <f t="shared" si="85"/>
        <v>0.1417910447761194</v>
      </c>
      <c r="M607" s="12">
        <v>80</v>
      </c>
      <c r="N607" s="12">
        <v>53</v>
      </c>
      <c r="Q607" s="23" t="s">
        <v>961</v>
      </c>
    </row>
    <row r="608" spans="1:17">
      <c r="A608" s="25">
        <v>46094</v>
      </c>
      <c r="B608" s="29">
        <v>0.52777777777777779</v>
      </c>
      <c r="C608" s="19">
        <v>46099</v>
      </c>
      <c r="D608" s="24" t="str">
        <f t="shared" si="84"/>
        <v>31B</v>
      </c>
      <c r="E608" s="13" t="str">
        <f>VLOOKUP(D:D,工作表2!A:B,2,0)</f>
        <v>建榮</v>
      </c>
      <c r="F608" s="13" t="str">
        <f>VLOOKUP(D:D,工作表2!A:C,3,0)</f>
        <v>黑</v>
      </c>
      <c r="G608" s="17">
        <v>10315447</v>
      </c>
      <c r="H608" s="17" t="s">
        <v>952</v>
      </c>
      <c r="I608" s="18" t="s">
        <v>955</v>
      </c>
      <c r="J608" s="15">
        <v>30</v>
      </c>
      <c r="K608" s="15">
        <v>1</v>
      </c>
      <c r="L608" s="20">
        <f t="shared" si="85"/>
        <v>3.3333333333333333E-2</v>
      </c>
      <c r="M608" s="12">
        <v>1</v>
      </c>
      <c r="Q608" s="23"/>
    </row>
    <row r="609" spans="1:17">
      <c r="A609" s="25">
        <v>46094</v>
      </c>
      <c r="B609" s="29">
        <v>0.52847222222222223</v>
      </c>
      <c r="C609" s="19">
        <v>46099</v>
      </c>
      <c r="D609" s="24" t="str">
        <f t="shared" si="84"/>
        <v>72A</v>
      </c>
      <c r="E609" s="13" t="str">
        <f>VLOOKUP(D:D,工作表2!A:B,2,0)</f>
        <v>邦善</v>
      </c>
      <c r="F609" s="13" t="str">
        <f>VLOOKUP(D:D,工作表2!A:C,3,0)</f>
        <v>灰</v>
      </c>
      <c r="G609" s="17">
        <v>10315714</v>
      </c>
      <c r="H609" s="17" t="s">
        <v>953</v>
      </c>
      <c r="I609" s="18" t="s">
        <v>956</v>
      </c>
      <c r="J609" s="15">
        <v>30</v>
      </c>
      <c r="K609" s="15">
        <v>2</v>
      </c>
      <c r="L609" s="20">
        <f t="shared" si="85"/>
        <v>6.6666666666666666E-2</v>
      </c>
      <c r="M609" s="12">
        <v>2</v>
      </c>
      <c r="Q609" s="23"/>
    </row>
    <row r="610" spans="1:17">
      <c r="A610" s="25">
        <v>46097</v>
      </c>
      <c r="B610" s="29">
        <v>0.58680555555555558</v>
      </c>
      <c r="C610" s="19">
        <v>46100</v>
      </c>
      <c r="D610" s="24" t="str">
        <f t="shared" ref="D610:D621" si="86">RIGHT(I610,3)</f>
        <v>HPP</v>
      </c>
      <c r="E610" s="13" t="str">
        <f>VLOOKUP(D:D,工作表2!A:B,2,0)</f>
        <v>邦善</v>
      </c>
      <c r="F610" s="13" t="str">
        <f>VLOOKUP(D:D,工作表2!A:C,3,0)</f>
        <v>紫</v>
      </c>
      <c r="G610" s="17">
        <v>10319670</v>
      </c>
      <c r="H610" s="17" t="s">
        <v>958</v>
      </c>
      <c r="I610" s="18" t="s">
        <v>960</v>
      </c>
      <c r="J610" s="15">
        <v>30</v>
      </c>
      <c r="K610" s="15">
        <v>0</v>
      </c>
      <c r="L610" s="20">
        <f t="shared" ref="L610:L621" si="87">K610/J610</f>
        <v>0</v>
      </c>
      <c r="Q610" s="23"/>
    </row>
    <row r="611" spans="1:17">
      <c r="A611" s="25">
        <v>46097</v>
      </c>
      <c r="B611" s="29">
        <v>0.58958333333333335</v>
      </c>
      <c r="C611" s="19">
        <v>46100</v>
      </c>
      <c r="D611" s="24" t="str">
        <f t="shared" si="86"/>
        <v>KTW</v>
      </c>
      <c r="E611" s="13" t="str">
        <f>VLOOKUP(D:D,工作表2!A:B,2,0)</f>
        <v>邦善</v>
      </c>
      <c r="F611" s="13" t="str">
        <f>VLOOKUP(D:D,工作表2!A:C,3,0)</f>
        <v>白</v>
      </c>
      <c r="G611" s="17">
        <v>10319671</v>
      </c>
      <c r="H611" s="17" t="s">
        <v>713</v>
      </c>
      <c r="I611" s="18" t="s">
        <v>723</v>
      </c>
      <c r="J611" s="15">
        <v>110</v>
      </c>
      <c r="K611" s="15">
        <v>15</v>
      </c>
      <c r="L611" s="20">
        <f t="shared" si="87"/>
        <v>0.13636363636363635</v>
      </c>
      <c r="M611" s="12">
        <v>10</v>
      </c>
      <c r="N611" s="12">
        <v>5</v>
      </c>
      <c r="Q611" s="23"/>
    </row>
    <row r="612" spans="1:17">
      <c r="A612" s="25">
        <v>46097</v>
      </c>
      <c r="B612" s="29">
        <v>0.58750000000000002</v>
      </c>
      <c r="C612" s="19">
        <v>46100</v>
      </c>
      <c r="D612" s="24" t="str">
        <f t="shared" si="86"/>
        <v>YJG</v>
      </c>
      <c r="E612" s="13" t="str">
        <f>VLOOKUP(D:D,工作表2!A:B,2,0)</f>
        <v>邦善</v>
      </c>
      <c r="F612" s="13" t="str">
        <f>VLOOKUP(D:D,工作表2!A:C,3,0)</f>
        <v>紅</v>
      </c>
      <c r="G612" s="17">
        <v>10319673</v>
      </c>
      <c r="H612" s="17" t="s">
        <v>648</v>
      </c>
      <c r="I612" s="18" t="s">
        <v>658</v>
      </c>
      <c r="J612" s="15">
        <v>30</v>
      </c>
      <c r="K612" s="15">
        <v>0</v>
      </c>
      <c r="L612" s="20">
        <f t="shared" si="87"/>
        <v>0</v>
      </c>
      <c r="Q612" s="23"/>
    </row>
    <row r="613" spans="1:17">
      <c r="A613" s="25">
        <v>46099</v>
      </c>
      <c r="B613" s="29">
        <v>0.37916666666666665</v>
      </c>
      <c r="C613" s="19">
        <v>46100</v>
      </c>
      <c r="D613" s="24" t="str">
        <f t="shared" si="86"/>
        <v>QRB</v>
      </c>
      <c r="E613" s="13" t="str">
        <f>VLOOKUP(D:D,工作表2!A:B,2,0)</f>
        <v>邦善</v>
      </c>
      <c r="F613" s="13" t="str">
        <f>VLOOKUP(D:D,工作表2!A:C,3,0)</f>
        <v>霧面黑</v>
      </c>
      <c r="G613" s="17">
        <v>10317665</v>
      </c>
      <c r="H613" s="17" t="s">
        <v>170</v>
      </c>
      <c r="I613" s="18" t="s">
        <v>171</v>
      </c>
      <c r="J613" s="15">
        <v>28728</v>
      </c>
      <c r="K613" s="15">
        <v>963</v>
      </c>
      <c r="L613" s="20">
        <f t="shared" si="87"/>
        <v>3.3521303258145362E-2</v>
      </c>
      <c r="M613" s="12">
        <v>623</v>
      </c>
      <c r="N613" s="12">
        <v>310</v>
      </c>
      <c r="O613" s="15">
        <v>30</v>
      </c>
      <c r="Q613" s="23"/>
    </row>
    <row r="614" spans="1:17">
      <c r="A614" s="25">
        <v>46099</v>
      </c>
      <c r="B614" s="29">
        <v>0.58124999999999993</v>
      </c>
      <c r="C614" s="19">
        <v>46100</v>
      </c>
      <c r="D614" s="24" t="str">
        <f t="shared" si="86"/>
        <v>4PW</v>
      </c>
      <c r="E614" s="13" t="str">
        <f>VLOOKUP(D:D,工作表2!A:B,2,0)</f>
        <v>敦陽</v>
      </c>
      <c r="F614" s="13" t="str">
        <f>VLOOKUP(D:D,工作表2!A:C,3,0)</f>
        <v>白</v>
      </c>
      <c r="G614" s="17">
        <v>10316411</v>
      </c>
      <c r="H614" s="17" t="s">
        <v>957</v>
      </c>
      <c r="I614" s="18" t="s">
        <v>959</v>
      </c>
      <c r="J614" s="15">
        <v>70</v>
      </c>
      <c r="K614" s="15">
        <v>15</v>
      </c>
      <c r="L614" s="20">
        <f t="shared" si="87"/>
        <v>0.21428571428571427</v>
      </c>
      <c r="M614" s="12">
        <v>12</v>
      </c>
      <c r="N614" s="12">
        <v>3</v>
      </c>
      <c r="Q614" s="23"/>
    </row>
    <row r="615" spans="1:17">
      <c r="A615" s="25">
        <v>46097</v>
      </c>
      <c r="B615" s="29">
        <v>0.6069444444444444</v>
      </c>
      <c r="C615" s="19">
        <v>46100</v>
      </c>
      <c r="D615" s="24" t="str">
        <f t="shared" si="86"/>
        <v>NEA</v>
      </c>
      <c r="E615" s="13" t="str">
        <f>VLOOKUP(D:D,工作表2!A:B,2,0)</f>
        <v>邦善</v>
      </c>
      <c r="F615" s="13" t="str">
        <f>VLOOKUP(D:D,工作表2!A:C,3,0)</f>
        <v>灰</v>
      </c>
      <c r="G615" s="17">
        <v>10315725</v>
      </c>
      <c r="H615" s="17" t="s">
        <v>595</v>
      </c>
      <c r="I615" s="18" t="s">
        <v>603</v>
      </c>
      <c r="J615" s="15">
        <v>560</v>
      </c>
      <c r="K615" s="15">
        <v>66</v>
      </c>
      <c r="L615" s="20">
        <f t="shared" si="87"/>
        <v>0.11785714285714285</v>
      </c>
      <c r="M615" s="12">
        <v>40</v>
      </c>
      <c r="N615" s="12">
        <v>26</v>
      </c>
      <c r="Q615" s="23" t="s">
        <v>962</v>
      </c>
    </row>
    <row r="616" spans="1:17">
      <c r="A616" s="25">
        <v>46097</v>
      </c>
      <c r="C616" s="19">
        <v>46100</v>
      </c>
      <c r="D616" s="24" t="str">
        <f t="shared" si="86"/>
        <v>NEA</v>
      </c>
      <c r="E616" s="13" t="str">
        <f>VLOOKUP(D:D,工作表2!A:B,2,0)</f>
        <v>邦善</v>
      </c>
      <c r="F616" s="13" t="str">
        <f>VLOOKUP(D:D,工作表2!A:C,3,0)</f>
        <v>灰</v>
      </c>
      <c r="G616" s="17">
        <v>10316420</v>
      </c>
      <c r="H616" s="17" t="s">
        <v>595</v>
      </c>
      <c r="I616" s="18" t="s">
        <v>603</v>
      </c>
      <c r="J616" s="15">
        <v>520</v>
      </c>
      <c r="K616" s="15">
        <v>43</v>
      </c>
      <c r="L616" s="20">
        <f t="shared" si="87"/>
        <v>8.269230769230769E-2</v>
      </c>
      <c r="M616" s="12">
        <v>30</v>
      </c>
      <c r="N616" s="12">
        <v>13</v>
      </c>
      <c r="Q616" s="23" t="s">
        <v>962</v>
      </c>
    </row>
    <row r="617" spans="1:17">
      <c r="A617" s="25">
        <v>46097</v>
      </c>
      <c r="B617" s="29">
        <v>0.59444444444444444</v>
      </c>
      <c r="C617" s="19">
        <v>46100</v>
      </c>
      <c r="D617" s="24" t="str">
        <f t="shared" si="86"/>
        <v>NGW</v>
      </c>
      <c r="E617" s="13" t="str">
        <f>VLOOKUP(D:D,工作表2!A:B,2,0)</f>
        <v>邦善</v>
      </c>
      <c r="F617" s="13" t="str">
        <f>VLOOKUP(D:D,工作表2!A:C,3,0)</f>
        <v>白</v>
      </c>
      <c r="G617" s="17">
        <v>10315726</v>
      </c>
      <c r="H617" s="17" t="s">
        <v>882</v>
      </c>
      <c r="I617" s="18" t="s">
        <v>884</v>
      </c>
      <c r="J617" s="15">
        <v>520</v>
      </c>
      <c r="K617" s="15">
        <v>45</v>
      </c>
      <c r="L617" s="20">
        <f t="shared" si="87"/>
        <v>8.6538461538461536E-2</v>
      </c>
      <c r="M617" s="12">
        <v>40</v>
      </c>
      <c r="N617" s="12">
        <v>5</v>
      </c>
      <c r="Q617" s="23" t="s">
        <v>962</v>
      </c>
    </row>
    <row r="618" spans="1:17">
      <c r="A618" s="25">
        <v>46099</v>
      </c>
      <c r="B618" s="29">
        <v>0.60069444444444442</v>
      </c>
      <c r="C618" s="19">
        <v>46100</v>
      </c>
      <c r="D618" s="24" t="str">
        <f t="shared" si="86"/>
        <v>NGW</v>
      </c>
      <c r="E618" s="13" t="str">
        <f>VLOOKUP(D:D,工作表2!A:B,2,0)</f>
        <v>邦善</v>
      </c>
      <c r="F618" s="13" t="str">
        <f>VLOOKUP(D:D,工作表2!A:C,3,0)</f>
        <v>白</v>
      </c>
      <c r="G618" s="17">
        <v>10323115</v>
      </c>
      <c r="H618" s="17" t="s">
        <v>426</v>
      </c>
      <c r="I618" s="18" t="s">
        <v>431</v>
      </c>
      <c r="J618" s="15">
        <v>40</v>
      </c>
      <c r="K618" s="15">
        <v>3</v>
      </c>
      <c r="L618" s="20">
        <f t="shared" si="87"/>
        <v>7.4999999999999997E-2</v>
      </c>
      <c r="M618" s="12">
        <v>3</v>
      </c>
      <c r="Q618" s="23" t="s">
        <v>963</v>
      </c>
    </row>
    <row r="619" spans="1:17">
      <c r="A619" s="25">
        <v>46098</v>
      </c>
      <c r="B619" s="29">
        <v>0.52222222222222225</v>
      </c>
      <c r="C619" s="19">
        <v>46100</v>
      </c>
      <c r="D619" s="24" t="str">
        <f t="shared" si="86"/>
        <v>Q9B</v>
      </c>
      <c r="E619" s="13" t="str">
        <f>VLOOKUP(D:D,工作表2!A:B,2,0)</f>
        <v>邦善</v>
      </c>
      <c r="F619" s="13" t="str">
        <f>VLOOKUP(D:D,工作表2!A:C,3,0)</f>
        <v>黑</v>
      </c>
      <c r="G619" s="17">
        <v>10318275</v>
      </c>
      <c r="H619" s="17" t="s">
        <v>939</v>
      </c>
      <c r="I619" s="18" t="s">
        <v>945</v>
      </c>
      <c r="J619" s="15">
        <v>1000</v>
      </c>
      <c r="K619" s="15">
        <v>300</v>
      </c>
      <c r="L619" s="20">
        <f t="shared" si="87"/>
        <v>0.3</v>
      </c>
      <c r="M619" s="12">
        <v>209</v>
      </c>
      <c r="N619" s="12">
        <v>91</v>
      </c>
      <c r="P619" s="32" t="s">
        <v>977</v>
      </c>
      <c r="Q619" s="23" t="s">
        <v>962</v>
      </c>
    </row>
    <row r="620" spans="1:17">
      <c r="A620" s="25">
        <v>46097</v>
      </c>
      <c r="B620" s="29">
        <v>0.57847222222222217</v>
      </c>
      <c r="C620" s="19">
        <v>46100</v>
      </c>
      <c r="D620" s="24" t="str">
        <f t="shared" si="86"/>
        <v>NGW</v>
      </c>
      <c r="E620" s="13" t="str">
        <f>VLOOKUP(D:D,工作表2!A:B,2,0)</f>
        <v>邦善</v>
      </c>
      <c r="F620" s="13" t="str">
        <f>VLOOKUP(D:D,工作表2!A:C,3,0)</f>
        <v>白</v>
      </c>
      <c r="G620" s="17">
        <v>10315707</v>
      </c>
      <c r="H620" s="17" t="s">
        <v>521</v>
      </c>
      <c r="I620" s="18" t="s">
        <v>533</v>
      </c>
      <c r="J620" s="15">
        <v>1072</v>
      </c>
      <c r="K620" s="15">
        <v>135</v>
      </c>
      <c r="L620" s="20">
        <f t="shared" si="87"/>
        <v>0.12593283582089551</v>
      </c>
      <c r="M620" s="12">
        <v>100</v>
      </c>
      <c r="N620" s="12">
        <v>35</v>
      </c>
      <c r="Q620" s="23" t="s">
        <v>961</v>
      </c>
    </row>
    <row r="621" spans="1:17">
      <c r="A621" s="25">
        <v>46099</v>
      </c>
      <c r="C621" s="19">
        <v>46100</v>
      </c>
      <c r="D621" s="24" t="str">
        <f t="shared" si="86"/>
        <v>N8B</v>
      </c>
      <c r="E621" s="13" t="str">
        <f>VLOOKUP(D:D,工作表2!A:B,2,0)</f>
        <v>邦善</v>
      </c>
      <c r="F621" s="13" t="str">
        <f>VLOOKUP(D:D,工作表2!A:C,3,0)</f>
        <v>霧面黑</v>
      </c>
      <c r="G621" s="17">
        <v>10321547</v>
      </c>
      <c r="H621" s="17" t="s">
        <v>613</v>
      </c>
      <c r="I621" s="18" t="s">
        <v>620</v>
      </c>
      <c r="J621" s="15">
        <v>134</v>
      </c>
      <c r="K621" s="15">
        <v>6</v>
      </c>
      <c r="L621" s="20">
        <f t="shared" si="87"/>
        <v>4.4776119402985072E-2</v>
      </c>
      <c r="M621" s="12">
        <v>4</v>
      </c>
      <c r="N621" s="12">
        <v>2</v>
      </c>
      <c r="Q621" s="23" t="str">
        <f>VLOOKUP(H:H,'[1]雷雕處遮蔽&amp;艾仕得8844'!$A:$C,3,0)</f>
        <v>0度頭蓋</v>
      </c>
    </row>
    <row r="622" spans="1:17">
      <c r="A622" s="25">
        <v>46100</v>
      </c>
      <c r="B622" s="29">
        <v>0.37708333333333338</v>
      </c>
      <c r="C622" s="11">
        <v>46101</v>
      </c>
      <c r="D622" s="24" t="str">
        <f t="shared" ref="D622:D629" si="88">RIGHT(I622,3)</f>
        <v>QRB</v>
      </c>
      <c r="E622" s="13" t="str">
        <f>VLOOKUP(D:D,工作表2!A:B,2,0)</f>
        <v>邦善</v>
      </c>
      <c r="F622" s="13" t="str">
        <f>VLOOKUP(D:D,工作表2!A:C,3,0)</f>
        <v>霧面黑</v>
      </c>
      <c r="G622" s="17">
        <v>10317666</v>
      </c>
      <c r="H622" s="17" t="s">
        <v>170</v>
      </c>
      <c r="I622" s="18" t="s">
        <v>171</v>
      </c>
      <c r="J622" s="15">
        <v>28728</v>
      </c>
      <c r="K622" s="15">
        <v>951</v>
      </c>
      <c r="L622" s="20">
        <f t="shared" ref="L622:L629" si="89">K622/J622</f>
        <v>3.3103592314118628E-2</v>
      </c>
      <c r="M622" s="12">
        <v>812</v>
      </c>
      <c r="N622" s="12">
        <v>127</v>
      </c>
      <c r="O622" s="15">
        <v>12</v>
      </c>
      <c r="P622" s="59" t="s">
        <v>976</v>
      </c>
      <c r="Q622" s="23"/>
    </row>
    <row r="623" spans="1:17">
      <c r="A623" s="25">
        <v>46098</v>
      </c>
      <c r="B623" s="29">
        <v>0.57430555555555551</v>
      </c>
      <c r="C623" s="11">
        <v>46101</v>
      </c>
      <c r="D623" s="24" t="str">
        <f t="shared" si="88"/>
        <v>RRA</v>
      </c>
      <c r="E623" s="13" t="str">
        <f>VLOOKUP(D:D,工作表2!A:B,2,0)</f>
        <v>邦善</v>
      </c>
      <c r="F623" s="13" t="str">
        <f>VLOOKUP(D:D,工作表2!A:C,3,0)</f>
        <v>灰</v>
      </c>
      <c r="G623" s="17">
        <v>10315733</v>
      </c>
      <c r="H623" s="17" t="s">
        <v>746</v>
      </c>
      <c r="I623" s="18" t="s">
        <v>749</v>
      </c>
      <c r="J623" s="15">
        <v>480</v>
      </c>
      <c r="K623" s="15">
        <v>28</v>
      </c>
      <c r="L623" s="20">
        <f t="shared" si="89"/>
        <v>5.8333333333333334E-2</v>
      </c>
      <c r="M623" s="12">
        <v>23</v>
      </c>
      <c r="N623" s="12">
        <v>5</v>
      </c>
      <c r="Q623" s="23" t="str">
        <f>VLOOKUP(H:H,'[1]雷雕處遮蔽&amp;艾仕得8844'!$A:$C,3,0)</f>
        <v>L</v>
      </c>
    </row>
    <row r="624" spans="1:17">
      <c r="A624" s="25">
        <v>46098</v>
      </c>
      <c r="B624" s="29">
        <v>0.56944444444444442</v>
      </c>
      <c r="C624" s="19">
        <v>46101</v>
      </c>
      <c r="D624" s="24" t="str">
        <f t="shared" si="88"/>
        <v>RRA</v>
      </c>
      <c r="E624" s="13" t="str">
        <f>VLOOKUP(D:D,工作表2!A:B,2,0)</f>
        <v>邦善</v>
      </c>
      <c r="F624" s="13" t="str">
        <f>VLOOKUP(D:D,工作表2!A:C,3,0)</f>
        <v>灰</v>
      </c>
      <c r="G624" s="17">
        <v>10315723</v>
      </c>
      <c r="H624" s="17" t="s">
        <v>968</v>
      </c>
      <c r="I624" s="18" t="s">
        <v>973</v>
      </c>
      <c r="J624" s="15">
        <v>280</v>
      </c>
      <c r="K624" s="15">
        <v>13</v>
      </c>
      <c r="L624" s="20">
        <f t="shared" si="89"/>
        <v>4.642857142857143E-2</v>
      </c>
      <c r="M624" s="12">
        <v>10</v>
      </c>
      <c r="N624" s="12">
        <v>3</v>
      </c>
      <c r="Q624" s="23" t="str">
        <f>VLOOKUP(H:H,'[1]雷雕處遮蔽&amp;艾仕得8844'!$A:$C,3,0)</f>
        <v>L</v>
      </c>
    </row>
    <row r="625" spans="1:17">
      <c r="A625" s="25">
        <v>46099</v>
      </c>
      <c r="B625" s="29">
        <v>0.52222222222222225</v>
      </c>
      <c r="C625" s="19">
        <v>46101</v>
      </c>
      <c r="D625" s="24" t="str">
        <f t="shared" si="88"/>
        <v>Q9B</v>
      </c>
      <c r="E625" s="13" t="str">
        <f>VLOOKUP(D:D,工作表2!A:B,2,0)</f>
        <v>邦善</v>
      </c>
      <c r="F625" s="13" t="str">
        <f>VLOOKUP(D:D,工作表2!A:C,3,0)</f>
        <v>黑</v>
      </c>
      <c r="G625" s="17">
        <v>10318270</v>
      </c>
      <c r="H625" s="17" t="s">
        <v>967</v>
      </c>
      <c r="I625" s="18" t="s">
        <v>972</v>
      </c>
      <c r="J625" s="15">
        <v>1000</v>
      </c>
      <c r="K625" s="15">
        <v>254</v>
      </c>
      <c r="L625" s="20">
        <f t="shared" si="89"/>
        <v>0.254</v>
      </c>
      <c r="M625" s="12">
        <v>180</v>
      </c>
      <c r="N625" s="12">
        <v>74</v>
      </c>
      <c r="P625" s="32" t="s">
        <v>977</v>
      </c>
      <c r="Q625" s="23" t="str">
        <f>VLOOKUP(H:H,'[1]雷雕處遮蔽&amp;艾仕得8844'!$A:$C,3,0)</f>
        <v>R</v>
      </c>
    </row>
    <row r="626" spans="1:17">
      <c r="A626" s="25">
        <v>46098</v>
      </c>
      <c r="B626" s="29">
        <v>0.5444444444444444</v>
      </c>
      <c r="C626" s="19">
        <v>46101</v>
      </c>
      <c r="D626" s="24" t="str">
        <f t="shared" si="88"/>
        <v>RRA</v>
      </c>
      <c r="E626" s="13" t="str">
        <f>VLOOKUP(D:D,工作表2!A:B,2,0)</f>
        <v>邦善</v>
      </c>
      <c r="F626" s="13" t="str">
        <f>VLOOKUP(D:D,工作表2!A:C,3,0)</f>
        <v>灰</v>
      </c>
      <c r="G626" s="17">
        <v>10315745</v>
      </c>
      <c r="H626" s="17" t="s">
        <v>750</v>
      </c>
      <c r="I626" s="18" t="s">
        <v>753</v>
      </c>
      <c r="J626" s="15">
        <v>800</v>
      </c>
      <c r="K626" s="15">
        <v>28</v>
      </c>
      <c r="L626" s="20">
        <f t="shared" si="89"/>
        <v>3.5000000000000003E-2</v>
      </c>
      <c r="M626" s="12">
        <v>25</v>
      </c>
      <c r="N626" s="12">
        <v>3</v>
      </c>
      <c r="Q626" s="23" t="str">
        <f>VLOOKUP(H:H,'[1]雷雕處遮蔽&amp;艾仕得8844'!$A:$C,3,0)</f>
        <v>R</v>
      </c>
    </row>
    <row r="627" spans="1:17">
      <c r="A627" s="25">
        <v>46097</v>
      </c>
      <c r="B627" s="29">
        <v>0.58888888888888891</v>
      </c>
      <c r="C627" s="19">
        <v>46101</v>
      </c>
      <c r="D627" s="24" t="str">
        <f t="shared" si="88"/>
        <v>9DB</v>
      </c>
      <c r="E627" s="13" t="str">
        <f>VLOOKUP(D:D,工作表2!A:B,2,0)</f>
        <v>敦陽</v>
      </c>
      <c r="F627" s="13" t="str">
        <f>VLOOKUP(D:D,工作表2!A:C,3,0)</f>
        <v>黑</v>
      </c>
      <c r="G627" s="17">
        <v>10316414</v>
      </c>
      <c r="H627" s="17" t="s">
        <v>969</v>
      </c>
      <c r="I627" s="18" t="s">
        <v>974</v>
      </c>
      <c r="J627" s="15">
        <v>30</v>
      </c>
      <c r="K627" s="15">
        <v>5</v>
      </c>
      <c r="L627" s="20">
        <f t="shared" si="89"/>
        <v>0.16666666666666666</v>
      </c>
      <c r="M627" s="12">
        <v>3</v>
      </c>
      <c r="N627" s="12">
        <v>2</v>
      </c>
      <c r="Q627" s="23"/>
    </row>
    <row r="628" spans="1:17">
      <c r="A628" s="25">
        <v>46099</v>
      </c>
      <c r="B628" s="29">
        <v>0.5756944444444444</v>
      </c>
      <c r="C628" s="19">
        <v>46101</v>
      </c>
      <c r="D628" s="24" t="str">
        <f t="shared" si="88"/>
        <v>42W</v>
      </c>
      <c r="E628" s="13" t="str">
        <f>VLOOKUP(D:D,工作表2!A:B,2,0)</f>
        <v>敦陽</v>
      </c>
      <c r="F628" s="13" t="str">
        <f>VLOOKUP(D:D,工作表2!A:C,3,0)</f>
        <v>白</v>
      </c>
      <c r="G628" s="17">
        <v>10316415</v>
      </c>
      <c r="H628" s="17" t="s">
        <v>966</v>
      </c>
      <c r="I628" s="18" t="s">
        <v>971</v>
      </c>
      <c r="J628" s="15">
        <v>30</v>
      </c>
      <c r="K628" s="15">
        <v>6</v>
      </c>
      <c r="L628" s="20">
        <f t="shared" si="89"/>
        <v>0.2</v>
      </c>
      <c r="M628" s="12">
        <v>5</v>
      </c>
      <c r="N628" s="12">
        <v>1</v>
      </c>
      <c r="Q628" s="23"/>
    </row>
    <row r="629" spans="1:17">
      <c r="A629" s="25">
        <v>46099</v>
      </c>
      <c r="B629" s="29">
        <v>0.57708333333333328</v>
      </c>
      <c r="C629" s="19">
        <v>46101</v>
      </c>
      <c r="D629" s="24" t="str">
        <f t="shared" si="88"/>
        <v>2US</v>
      </c>
      <c r="E629" s="13" t="str">
        <f>VLOOKUP(D:D,工作表2!A:B,2,0)</f>
        <v>建榮</v>
      </c>
      <c r="F629" s="13" t="str">
        <f>VLOOKUP(D:D,工作表2!A:C,3,0)</f>
        <v>銀</v>
      </c>
      <c r="G629" s="17">
        <v>10316746</v>
      </c>
      <c r="H629" s="17" t="s">
        <v>970</v>
      </c>
      <c r="I629" s="18" t="s">
        <v>975</v>
      </c>
      <c r="J629" s="15">
        <v>80</v>
      </c>
      <c r="K629" s="15">
        <v>12</v>
      </c>
      <c r="L629" s="20">
        <f t="shared" si="89"/>
        <v>0.15</v>
      </c>
      <c r="M629" s="12">
        <v>10</v>
      </c>
      <c r="N629" s="12">
        <v>2</v>
      </c>
      <c r="Q629" s="23"/>
    </row>
    <row r="630" spans="1:17">
      <c r="A630" s="25">
        <v>46101</v>
      </c>
      <c r="B630" s="29">
        <v>0.37777777777777777</v>
      </c>
      <c r="C630" s="11">
        <v>46104</v>
      </c>
      <c r="D630" s="24" t="str">
        <f t="shared" ref="D630:D636" si="90">RIGHT(I630,3)</f>
        <v>QRB</v>
      </c>
      <c r="E630" s="13" t="str">
        <f>VLOOKUP(D:D,工作表2!A:B,2,0)</f>
        <v>邦善</v>
      </c>
      <c r="F630" s="13" t="str">
        <f>VLOOKUP(D:D,工作表2!A:C,3,0)</f>
        <v>霧面黑</v>
      </c>
      <c r="G630" s="17">
        <v>10321528</v>
      </c>
      <c r="H630" s="17" t="s">
        <v>170</v>
      </c>
      <c r="I630" s="18" t="s">
        <v>171</v>
      </c>
      <c r="J630" s="15">
        <v>26600</v>
      </c>
      <c r="K630" s="15">
        <v>700</v>
      </c>
      <c r="L630" s="20">
        <f t="shared" ref="L630:L636" si="91">K630/J630</f>
        <v>2.6315789473684209E-2</v>
      </c>
      <c r="M630" s="12">
        <v>404</v>
      </c>
      <c r="N630" s="12">
        <v>257</v>
      </c>
      <c r="O630" s="15">
        <v>39</v>
      </c>
      <c r="Q630" s="23"/>
    </row>
    <row r="631" spans="1:17">
      <c r="A631" s="25">
        <v>46098</v>
      </c>
      <c r="B631" s="29">
        <v>0.6118055555555556</v>
      </c>
      <c r="C631" s="19">
        <v>46104</v>
      </c>
      <c r="D631" s="24" t="str">
        <f t="shared" si="90"/>
        <v>RCA</v>
      </c>
      <c r="E631" s="13" t="str">
        <f>VLOOKUP(D:D,工作表2!A:B,2,0)</f>
        <v>邦善</v>
      </c>
      <c r="F631" s="13" t="str">
        <f>VLOOKUP(D:D,工作表2!A:C,3,0)</f>
        <v>灰</v>
      </c>
      <c r="G631" s="17">
        <v>10315722</v>
      </c>
      <c r="H631" s="17" t="s">
        <v>978</v>
      </c>
      <c r="I631" s="18" t="s">
        <v>979</v>
      </c>
      <c r="J631" s="15">
        <v>320</v>
      </c>
      <c r="K631" s="15">
        <v>20</v>
      </c>
      <c r="L631" s="20">
        <f t="shared" si="91"/>
        <v>6.25E-2</v>
      </c>
      <c r="M631" s="12">
        <v>15</v>
      </c>
      <c r="N631" s="12">
        <v>5</v>
      </c>
      <c r="Q631" s="23" t="str">
        <f>VLOOKUP(H:H,'[1]雷雕處遮蔽&amp;艾仕得8844'!$A:$C,3,0)</f>
        <v>L</v>
      </c>
    </row>
    <row r="632" spans="1:17">
      <c r="A632" s="25">
        <v>46098</v>
      </c>
      <c r="B632" s="29">
        <v>0.61944444444444446</v>
      </c>
      <c r="C632" s="19">
        <v>46104</v>
      </c>
      <c r="D632" s="24" t="str">
        <f t="shared" si="90"/>
        <v>RCA</v>
      </c>
      <c r="E632" s="13" t="str">
        <f>VLOOKUP(D:D,工作表2!A:B,2,0)</f>
        <v>邦善</v>
      </c>
      <c r="F632" s="13" t="str">
        <f>VLOOKUP(D:D,工作表2!A:C,3,0)</f>
        <v>灰</v>
      </c>
      <c r="G632" s="17">
        <v>10315735</v>
      </c>
      <c r="H632" s="17" t="s">
        <v>663</v>
      </c>
      <c r="I632" s="18" t="s">
        <v>667</v>
      </c>
      <c r="J632" s="15">
        <v>480</v>
      </c>
      <c r="K632" s="15">
        <v>18</v>
      </c>
      <c r="L632" s="20">
        <f t="shared" si="91"/>
        <v>3.7499999999999999E-2</v>
      </c>
      <c r="M632" s="12">
        <v>15</v>
      </c>
      <c r="N632" s="12">
        <v>3</v>
      </c>
      <c r="Q632" s="23" t="str">
        <f>VLOOKUP(H:H,'[1]雷雕處遮蔽&amp;艾仕得8844'!$A:$C,3,0)</f>
        <v>L</v>
      </c>
    </row>
    <row r="633" spans="1:17">
      <c r="A633" s="25">
        <v>46099</v>
      </c>
      <c r="B633" s="29">
        <v>0.54097222222222219</v>
      </c>
      <c r="C633" s="19">
        <v>46104</v>
      </c>
      <c r="D633" s="24" t="str">
        <f t="shared" si="90"/>
        <v>RCA</v>
      </c>
      <c r="E633" s="13" t="str">
        <f>VLOOKUP(D:D,工作表2!A:B,2,0)</f>
        <v>邦善</v>
      </c>
      <c r="F633" s="13" t="str">
        <f>VLOOKUP(D:D,工作表2!A:C,3,0)</f>
        <v>灰</v>
      </c>
      <c r="G633" s="17">
        <v>10315737</v>
      </c>
      <c r="H633" s="17" t="s">
        <v>744</v>
      </c>
      <c r="I633" s="18" t="s">
        <v>747</v>
      </c>
      <c r="J633" s="15">
        <v>520</v>
      </c>
      <c r="K633" s="15">
        <v>26</v>
      </c>
      <c r="L633" s="20">
        <f t="shared" si="91"/>
        <v>0.05</v>
      </c>
      <c r="M633" s="12">
        <v>22</v>
      </c>
      <c r="N633" s="12">
        <v>4</v>
      </c>
      <c r="Q633" s="23" t="str">
        <f>VLOOKUP(H:H,'[1]雷雕處遮蔽&amp;艾仕得8844'!$A:$C,3,0)</f>
        <v>R</v>
      </c>
    </row>
    <row r="634" spans="1:17">
      <c r="A634" s="25">
        <v>46098</v>
      </c>
      <c r="B634" s="29">
        <v>0.6430555555555556</v>
      </c>
      <c r="C634" s="19">
        <v>46104</v>
      </c>
      <c r="D634" s="24" t="str">
        <f t="shared" si="90"/>
        <v>RCA</v>
      </c>
      <c r="E634" s="13" t="str">
        <f>VLOOKUP(D:D,工作表2!A:B,2,0)</f>
        <v>邦善</v>
      </c>
      <c r="F634" s="13" t="str">
        <f>VLOOKUP(D:D,工作表2!A:C,3,0)</f>
        <v>灰</v>
      </c>
      <c r="G634" s="17">
        <v>10316425</v>
      </c>
      <c r="H634" s="17" t="s">
        <v>744</v>
      </c>
      <c r="I634" s="18" t="s">
        <v>747</v>
      </c>
      <c r="J634" s="15">
        <v>560</v>
      </c>
      <c r="K634" s="15">
        <v>18</v>
      </c>
      <c r="L634" s="20">
        <f t="shared" si="91"/>
        <v>3.214285714285714E-2</v>
      </c>
      <c r="M634" s="12">
        <v>13</v>
      </c>
      <c r="N634" s="12">
        <v>5</v>
      </c>
      <c r="Q634" s="23" t="str">
        <f>VLOOKUP(H:H,'[1]雷雕處遮蔽&amp;艾仕得8844'!$A:$C,3,0)</f>
        <v>R</v>
      </c>
    </row>
    <row r="635" spans="1:17">
      <c r="A635" s="25">
        <v>46098</v>
      </c>
      <c r="B635" s="29">
        <v>0.58680555555555558</v>
      </c>
      <c r="C635" s="19">
        <v>46104</v>
      </c>
      <c r="D635" s="24" t="str">
        <f t="shared" si="90"/>
        <v>QFA</v>
      </c>
      <c r="E635" s="13" t="str">
        <f>VLOOKUP(D:D,工作表2!A:B,2,0)</f>
        <v>邦善</v>
      </c>
      <c r="F635" s="13" t="str">
        <f>VLOOKUP(D:D,工作表2!A:C,3,0)</f>
        <v>灰</v>
      </c>
      <c r="G635" s="17">
        <v>10315741</v>
      </c>
      <c r="H635" s="17" t="s">
        <v>630</v>
      </c>
      <c r="I635" s="18" t="s">
        <v>636</v>
      </c>
      <c r="J635" s="15">
        <v>480</v>
      </c>
      <c r="K635" s="15">
        <v>20</v>
      </c>
      <c r="L635" s="20">
        <f t="shared" si="91"/>
        <v>4.1666666666666664E-2</v>
      </c>
      <c r="M635" s="12">
        <v>12</v>
      </c>
      <c r="N635" s="12">
        <v>8</v>
      </c>
      <c r="Q635" s="23"/>
    </row>
    <row r="636" spans="1:17">
      <c r="A636" s="25">
        <v>46100</v>
      </c>
      <c r="B636" s="29">
        <v>0.56458333333333333</v>
      </c>
      <c r="C636" s="19">
        <v>46104</v>
      </c>
      <c r="D636" s="24" t="str">
        <f t="shared" si="90"/>
        <v>Q9B</v>
      </c>
      <c r="E636" s="13" t="str">
        <f>VLOOKUP(D:D,工作表2!A:B,2,0)</f>
        <v>邦善</v>
      </c>
      <c r="F636" s="13" t="str">
        <f>VLOOKUP(D:D,工作表2!A:C,3,0)</f>
        <v>黑</v>
      </c>
      <c r="G636" s="17">
        <v>10318271</v>
      </c>
      <c r="H636" s="17" t="s">
        <v>967</v>
      </c>
      <c r="I636" s="18" t="s">
        <v>972</v>
      </c>
      <c r="J636" s="15">
        <v>1000</v>
      </c>
      <c r="K636" s="15">
        <v>286</v>
      </c>
      <c r="L636" s="20">
        <f t="shared" si="91"/>
        <v>0.28599999999999998</v>
      </c>
      <c r="M636" s="12">
        <v>220</v>
      </c>
      <c r="N636" s="12">
        <v>66</v>
      </c>
      <c r="P636" s="32" t="s">
        <v>977</v>
      </c>
      <c r="Q636" s="23" t="str">
        <f>VLOOKUP(H:H,'[1]雷雕處遮蔽&amp;艾仕得8844'!$A:$C,3,0)</f>
        <v>R</v>
      </c>
    </row>
    <row r="637" spans="1:17">
      <c r="A637" s="25">
        <v>46104</v>
      </c>
      <c r="B637" s="29">
        <v>0.41041666666666665</v>
      </c>
      <c r="C637" s="11">
        <v>46105</v>
      </c>
      <c r="D637" s="24" t="str">
        <f t="shared" ref="D637:D645" si="92">RIGHT(I637,3)</f>
        <v>QRB</v>
      </c>
      <c r="E637" s="13" t="str">
        <f>VLOOKUP(D:D,工作表2!A:B,2,0)</f>
        <v>邦善</v>
      </c>
      <c r="F637" s="13" t="str">
        <f>VLOOKUP(D:D,工作表2!A:C,3,0)</f>
        <v>霧面黑</v>
      </c>
      <c r="G637" s="17">
        <v>10321532</v>
      </c>
      <c r="H637" s="17" t="s">
        <v>170</v>
      </c>
      <c r="I637" s="18" t="s">
        <v>171</v>
      </c>
      <c r="J637" s="15">
        <v>11970</v>
      </c>
      <c r="K637" s="15">
        <v>638</v>
      </c>
      <c r="L637" s="20">
        <f t="shared" ref="L637:L645" si="93">K637/J637</f>
        <v>5.3299916457811194E-2</v>
      </c>
      <c r="M637" s="12">
        <v>502</v>
      </c>
      <c r="N637" s="12">
        <v>126</v>
      </c>
      <c r="O637" s="15">
        <v>10</v>
      </c>
      <c r="Q637" s="23"/>
    </row>
    <row r="638" spans="1:17">
      <c r="A638" s="25">
        <v>46104</v>
      </c>
      <c r="B638" s="29">
        <v>0.45902777777777781</v>
      </c>
      <c r="C638" s="11">
        <v>46105</v>
      </c>
      <c r="D638" s="24" t="str">
        <f t="shared" si="92"/>
        <v>QSB</v>
      </c>
      <c r="E638" s="13" t="str">
        <f>VLOOKUP(D:D,工作表2!A:B,2,0)</f>
        <v>邦善</v>
      </c>
      <c r="F638" s="13" t="str">
        <f>VLOOKUP(D:D,工作表2!A:C,3,0)</f>
        <v>黑</v>
      </c>
      <c r="G638" s="17">
        <v>10321523</v>
      </c>
      <c r="H638" s="17" t="s">
        <v>583</v>
      </c>
      <c r="I638" s="18" t="s">
        <v>587</v>
      </c>
      <c r="J638" s="15">
        <v>6118</v>
      </c>
      <c r="K638" s="15">
        <v>386</v>
      </c>
      <c r="L638" s="20">
        <f t="shared" si="93"/>
        <v>6.3092513893429222E-2</v>
      </c>
      <c r="M638" s="12">
        <v>296</v>
      </c>
      <c r="N638" s="12">
        <v>90</v>
      </c>
      <c r="Q638" s="23"/>
    </row>
    <row r="639" spans="1:17">
      <c r="A639" s="25">
        <v>46104</v>
      </c>
      <c r="B639" s="29">
        <v>0.54513888888888895</v>
      </c>
      <c r="C639" s="19">
        <v>46105</v>
      </c>
      <c r="D639" s="24" t="str">
        <f t="shared" si="92"/>
        <v>QUW</v>
      </c>
      <c r="E639" s="13" t="str">
        <f>VLOOKUP(D:D,工作表2!A:B,2,0)</f>
        <v>邦善</v>
      </c>
      <c r="F639" s="13" t="str">
        <f>VLOOKUP(D:D,工作表2!A:C,3,0)</f>
        <v>白</v>
      </c>
      <c r="G639" s="17">
        <v>10321538</v>
      </c>
      <c r="H639" s="17" t="s">
        <v>634</v>
      </c>
      <c r="I639" s="18" t="s">
        <v>640</v>
      </c>
      <c r="J639" s="15">
        <v>3724</v>
      </c>
      <c r="K639" s="15">
        <v>166</v>
      </c>
      <c r="L639" s="20">
        <f t="shared" si="93"/>
        <v>4.4575725026852843E-2</v>
      </c>
      <c r="M639" s="12">
        <v>154</v>
      </c>
      <c r="N639" s="12">
        <v>12</v>
      </c>
      <c r="Q639" s="23"/>
    </row>
    <row r="640" spans="1:17">
      <c r="A640" s="25">
        <v>46104</v>
      </c>
      <c r="B640" s="29">
        <v>0.52500000000000002</v>
      </c>
      <c r="C640" s="19">
        <v>46105</v>
      </c>
      <c r="D640" s="24" t="str">
        <f t="shared" si="92"/>
        <v>QVA</v>
      </c>
      <c r="E640" s="13" t="str">
        <f>VLOOKUP(D:D,工作表2!A:B,2,0)</f>
        <v>邦善</v>
      </c>
      <c r="F640" s="13" t="str">
        <f>VLOOKUP(D:D,工作表2!A:C,3,0)</f>
        <v>灰</v>
      </c>
      <c r="G640" s="17">
        <v>10321548</v>
      </c>
      <c r="H640" s="17" t="s">
        <v>606</v>
      </c>
      <c r="I640" s="18" t="s">
        <v>608</v>
      </c>
      <c r="J640" s="15">
        <v>2660</v>
      </c>
      <c r="K640" s="15">
        <v>80</v>
      </c>
      <c r="L640" s="20">
        <f t="shared" si="93"/>
        <v>3.007518796992481E-2</v>
      </c>
      <c r="M640" s="12">
        <v>69</v>
      </c>
      <c r="N640" s="12">
        <v>11</v>
      </c>
      <c r="Q640" s="23"/>
    </row>
    <row r="641" spans="1:20">
      <c r="A641" s="25">
        <v>46104</v>
      </c>
      <c r="B641" s="29">
        <v>0.53541666666666665</v>
      </c>
      <c r="C641" s="19">
        <v>46105</v>
      </c>
      <c r="D641" s="24" t="str">
        <f t="shared" si="92"/>
        <v>RZG</v>
      </c>
      <c r="E641" s="13" t="str">
        <f>VLOOKUP(D:D,工作表2!A:B,2,0)</f>
        <v>邦善</v>
      </c>
      <c r="F641" s="13" t="str">
        <f>VLOOKUP(D:D,工作表2!A:C,3,0)</f>
        <v>綠</v>
      </c>
      <c r="G641" s="17">
        <v>10321549</v>
      </c>
      <c r="H641" s="17" t="s">
        <v>406</v>
      </c>
      <c r="I641" s="18" t="s">
        <v>409</v>
      </c>
      <c r="J641" s="15">
        <v>2128</v>
      </c>
      <c r="K641" s="15">
        <v>83</v>
      </c>
      <c r="L641" s="20">
        <f t="shared" si="93"/>
        <v>3.9003759398496242E-2</v>
      </c>
      <c r="M641" s="12">
        <v>76</v>
      </c>
      <c r="N641" s="12">
        <v>7</v>
      </c>
      <c r="Q641" s="23"/>
    </row>
    <row r="642" spans="1:20">
      <c r="A642" s="25">
        <v>46100</v>
      </c>
      <c r="B642" s="29">
        <v>0.62916666666666665</v>
      </c>
      <c r="C642" s="19">
        <v>46105</v>
      </c>
      <c r="D642" s="24" t="str">
        <f t="shared" si="92"/>
        <v>84B</v>
      </c>
      <c r="E642" s="13" t="str">
        <f>VLOOKUP(D:D,工作表2!A:B,2,0)</f>
        <v>敦陽</v>
      </c>
      <c r="F642" s="13" t="str">
        <f>VLOOKUP(D:D,工作表2!A:C,3,0)</f>
        <v>黑</v>
      </c>
      <c r="G642" s="17">
        <v>10322665</v>
      </c>
      <c r="H642" s="17" t="s">
        <v>980</v>
      </c>
      <c r="I642" s="18" t="s">
        <v>981</v>
      </c>
      <c r="J642" s="15">
        <v>30</v>
      </c>
      <c r="K642" s="15">
        <v>2</v>
      </c>
      <c r="L642" s="20">
        <f t="shared" si="93"/>
        <v>6.6666666666666666E-2</v>
      </c>
      <c r="M642" s="12">
        <v>2</v>
      </c>
      <c r="Q642" s="23" t="str">
        <f>VLOOKUP(H:H,'[1]雷雕處遮蔽&amp;艾仕得8844'!$A:$C,3,0)</f>
        <v>23度頭蓋</v>
      </c>
    </row>
    <row r="643" spans="1:20">
      <c r="A643" s="25">
        <v>46104</v>
      </c>
      <c r="B643" s="29">
        <v>0.38958333333333334</v>
      </c>
      <c r="C643" s="19">
        <v>46105</v>
      </c>
      <c r="D643" s="24" t="str">
        <f t="shared" si="92"/>
        <v>Q9B</v>
      </c>
      <c r="E643" s="13" t="str">
        <f>VLOOKUP(D:D,工作表2!A:B,2,0)</f>
        <v>邦善</v>
      </c>
      <c r="F643" s="13" t="str">
        <f>VLOOKUP(D:D,工作表2!A:C,3,0)</f>
        <v>黑</v>
      </c>
      <c r="G643" s="17">
        <v>10318276</v>
      </c>
      <c r="H643" s="17" t="s">
        <v>939</v>
      </c>
      <c r="I643" s="18" t="s">
        <v>945</v>
      </c>
      <c r="J643" s="15">
        <v>1000</v>
      </c>
      <c r="K643" s="15">
        <v>286</v>
      </c>
      <c r="L643" s="20">
        <f t="shared" si="93"/>
        <v>0.28599999999999998</v>
      </c>
      <c r="M643" s="12">
        <v>260</v>
      </c>
      <c r="N643" s="12">
        <v>26</v>
      </c>
      <c r="P643" s="32" t="s">
        <v>977</v>
      </c>
      <c r="Q643" s="23" t="str">
        <f>VLOOKUP(H:H,'[1]雷雕處遮蔽&amp;艾仕得8844'!$A:$C,3,0)</f>
        <v>L</v>
      </c>
    </row>
    <row r="644" spans="1:20">
      <c r="A644" s="25">
        <v>46099</v>
      </c>
      <c r="B644" s="29">
        <v>0.54722222222222217</v>
      </c>
      <c r="C644" s="19">
        <v>46105</v>
      </c>
      <c r="D644" s="24" t="str">
        <f t="shared" si="92"/>
        <v>RRA</v>
      </c>
      <c r="E644" s="13" t="str">
        <f>VLOOKUP(D:D,工作表2!A:B,2,0)</f>
        <v>邦善</v>
      </c>
      <c r="F644" s="13" t="str">
        <f>VLOOKUP(D:D,工作表2!A:C,3,0)</f>
        <v>灰</v>
      </c>
      <c r="G644" s="17">
        <v>10315744</v>
      </c>
      <c r="H644" s="17" t="s">
        <v>833</v>
      </c>
      <c r="I644" s="18" t="s">
        <v>834</v>
      </c>
      <c r="J644" s="15">
        <v>1040</v>
      </c>
      <c r="K644" s="15">
        <v>51</v>
      </c>
      <c r="L644" s="20">
        <f t="shared" si="93"/>
        <v>4.9038461538461538E-2</v>
      </c>
      <c r="M644" s="12">
        <v>30</v>
      </c>
      <c r="N644" s="12">
        <v>19</v>
      </c>
      <c r="P644" s="59" t="s">
        <v>982</v>
      </c>
      <c r="Q644" s="23" t="str">
        <f>VLOOKUP(H:H,'[1]雷雕處遮蔽&amp;艾仕得8844'!$A:$C,3,0)</f>
        <v>L</v>
      </c>
      <c r="T644" s="17">
        <v>2</v>
      </c>
    </row>
    <row r="645" spans="1:20">
      <c r="A645" s="25">
        <v>46101</v>
      </c>
      <c r="B645" s="29">
        <v>0.47222222222222227</v>
      </c>
      <c r="C645" s="19">
        <v>46105</v>
      </c>
      <c r="D645" s="24" t="str">
        <f t="shared" si="92"/>
        <v>BBB</v>
      </c>
      <c r="E645" s="13" t="str">
        <f>VLOOKUP(D:D,工作表2!A:B,2,0)</f>
        <v>邦善</v>
      </c>
      <c r="F645" s="13" t="str">
        <f>VLOOKUP(D:D,工作表2!A:C,3,0)</f>
        <v>霧面黑</v>
      </c>
      <c r="G645" s="17">
        <v>10322664</v>
      </c>
      <c r="H645" s="17" t="s">
        <v>578</v>
      </c>
      <c r="I645" s="18" t="s">
        <v>580</v>
      </c>
      <c r="J645" s="15">
        <v>80</v>
      </c>
      <c r="K645" s="15">
        <v>3</v>
      </c>
      <c r="L645" s="20">
        <f t="shared" si="93"/>
        <v>3.7499999999999999E-2</v>
      </c>
      <c r="M645" s="12">
        <v>3</v>
      </c>
      <c r="Q645" s="23"/>
    </row>
    <row r="646" spans="1:20">
      <c r="A646" s="25">
        <v>46104</v>
      </c>
      <c r="B646" s="29">
        <v>0.62083333333333335</v>
      </c>
      <c r="C646" s="11">
        <v>46106</v>
      </c>
      <c r="D646" s="24" t="str">
        <f t="shared" ref="D646:D657" si="94">RIGHT(I646,3)</f>
        <v>M2W</v>
      </c>
      <c r="E646" s="13" t="str">
        <f>VLOOKUP(D:D,工作表2!A:B,2,0)</f>
        <v>邦善</v>
      </c>
      <c r="F646" s="13" t="str">
        <f>VLOOKUP(D:D,工作表2!A:C,3,0)</f>
        <v>白</v>
      </c>
      <c r="G646" s="17">
        <v>10319674</v>
      </c>
      <c r="H646" s="17" t="s">
        <v>651</v>
      </c>
      <c r="I646" s="18" t="s">
        <v>661</v>
      </c>
      <c r="J646" s="15">
        <v>240</v>
      </c>
      <c r="K646" s="15">
        <v>31</v>
      </c>
      <c r="L646" s="20">
        <f t="shared" ref="L646:L657" si="95">K646/J646</f>
        <v>0.12916666666666668</v>
      </c>
      <c r="M646" s="12">
        <v>21</v>
      </c>
      <c r="N646" s="12">
        <v>10</v>
      </c>
      <c r="Q646" s="23"/>
    </row>
    <row r="647" spans="1:20">
      <c r="A647" s="25">
        <v>46104</v>
      </c>
      <c r="B647" s="29">
        <v>0.3840277777777778</v>
      </c>
      <c r="C647" s="11">
        <v>46106</v>
      </c>
      <c r="D647" s="24" t="str">
        <f t="shared" si="94"/>
        <v>PLB</v>
      </c>
      <c r="E647" s="13" t="str">
        <f>VLOOKUP(D:D,工作表2!A:B,2,0)</f>
        <v>邦善</v>
      </c>
      <c r="F647" s="13" t="str">
        <f>VLOOKUP(D:D,工作表2!A:C,3,0)</f>
        <v>霧面黑</v>
      </c>
      <c r="G647" s="17">
        <v>10322673</v>
      </c>
      <c r="H647" s="17" t="s">
        <v>408</v>
      </c>
      <c r="I647" s="18" t="s">
        <v>411</v>
      </c>
      <c r="J647" s="15">
        <v>1596</v>
      </c>
      <c r="K647" s="15">
        <v>63</v>
      </c>
      <c r="L647" s="20">
        <f t="shared" si="95"/>
        <v>3.9473684210526314E-2</v>
      </c>
      <c r="M647" s="12">
        <v>54</v>
      </c>
      <c r="N647" s="12">
        <v>9</v>
      </c>
      <c r="Q647" s="23"/>
    </row>
    <row r="648" spans="1:20">
      <c r="A648" s="25">
        <v>46105</v>
      </c>
      <c r="B648" s="29">
        <v>0.38055555555555554</v>
      </c>
      <c r="C648" s="19">
        <v>46106</v>
      </c>
      <c r="D648" s="24" t="str">
        <f t="shared" si="94"/>
        <v>QRB</v>
      </c>
      <c r="E648" s="13" t="str">
        <f>VLOOKUP(D:D,工作表2!A:B,2,0)</f>
        <v>邦善</v>
      </c>
      <c r="F648" s="13" t="str">
        <f>VLOOKUP(D:D,工作表2!A:C,3,0)</f>
        <v>霧面黑</v>
      </c>
      <c r="G648" s="17">
        <v>10321529</v>
      </c>
      <c r="H648" s="17" t="s">
        <v>170</v>
      </c>
      <c r="I648" s="18" t="s">
        <v>171</v>
      </c>
      <c r="J648" s="15">
        <v>26600</v>
      </c>
      <c r="K648" s="15">
        <v>1047</v>
      </c>
      <c r="L648" s="20">
        <f t="shared" si="95"/>
        <v>3.9360902255639096E-2</v>
      </c>
      <c r="M648" s="12">
        <v>721</v>
      </c>
      <c r="N648" s="12">
        <v>309</v>
      </c>
      <c r="O648" s="15">
        <v>17</v>
      </c>
      <c r="Q648" s="23"/>
    </row>
    <row r="649" spans="1:20">
      <c r="A649" s="25">
        <v>46100</v>
      </c>
      <c r="B649" s="29">
        <v>0.5395833333333333</v>
      </c>
      <c r="C649" s="19">
        <v>46106</v>
      </c>
      <c r="D649" s="24" t="str">
        <f t="shared" si="94"/>
        <v>NBB</v>
      </c>
      <c r="E649" s="13" t="str">
        <f>VLOOKUP(D:D,工作表2!A:B,2,0)</f>
        <v>邦善</v>
      </c>
      <c r="F649" s="13" t="str">
        <f>VLOOKUP(D:D,工作表2!A:C,3,0)</f>
        <v>霧面黑</v>
      </c>
      <c r="G649" s="17">
        <v>10315720</v>
      </c>
      <c r="H649" s="17" t="s">
        <v>306</v>
      </c>
      <c r="I649" s="18" t="s">
        <v>307</v>
      </c>
      <c r="J649" s="15">
        <v>5054</v>
      </c>
      <c r="K649" s="15">
        <v>67</v>
      </c>
      <c r="L649" s="20">
        <f t="shared" si="95"/>
        <v>1.3256826276216858E-2</v>
      </c>
      <c r="M649" s="12">
        <v>61</v>
      </c>
      <c r="N649" s="12">
        <v>6</v>
      </c>
      <c r="Q649" s="23"/>
    </row>
    <row r="650" spans="1:20">
      <c r="A650" s="25">
        <v>46101</v>
      </c>
      <c r="B650" s="29">
        <v>0.52708333333333335</v>
      </c>
      <c r="C650" s="19">
        <v>46106</v>
      </c>
      <c r="D650" s="24" t="str">
        <f t="shared" si="94"/>
        <v>NCB</v>
      </c>
      <c r="E650" s="13" t="str">
        <f>VLOOKUP(D:D,工作表2!A:B,2,0)</f>
        <v>邦善</v>
      </c>
      <c r="F650" s="13" t="str">
        <f>VLOOKUP(D:D,工作表2!A:C,3,0)</f>
        <v>黑</v>
      </c>
      <c r="G650" s="17">
        <v>10315761</v>
      </c>
      <c r="H650" s="17" t="s">
        <v>751</v>
      </c>
      <c r="I650" s="18" t="s">
        <v>754</v>
      </c>
      <c r="J650" s="15">
        <v>798</v>
      </c>
      <c r="K650" s="15">
        <v>67</v>
      </c>
      <c r="L650" s="20">
        <f t="shared" si="95"/>
        <v>8.3959899749373429E-2</v>
      </c>
      <c r="M650" s="12">
        <v>60</v>
      </c>
      <c r="N650" s="12">
        <v>7</v>
      </c>
      <c r="Q650" s="23"/>
    </row>
    <row r="651" spans="1:20">
      <c r="A651" s="25">
        <v>46099</v>
      </c>
      <c r="B651" s="29">
        <v>0.59791666666666665</v>
      </c>
      <c r="C651" s="19">
        <v>46106</v>
      </c>
      <c r="D651" s="24" t="str">
        <f t="shared" si="94"/>
        <v>NGW</v>
      </c>
      <c r="E651" s="13" t="str">
        <f>VLOOKUP(D:D,工作表2!A:B,2,0)</f>
        <v>邦善</v>
      </c>
      <c r="F651" s="13" t="str">
        <f>VLOOKUP(D:D,工作表2!A:C,3,0)</f>
        <v>白</v>
      </c>
      <c r="G651" s="17">
        <v>10315760</v>
      </c>
      <c r="H651" s="17" t="s">
        <v>543</v>
      </c>
      <c r="I651" s="18" t="s">
        <v>554</v>
      </c>
      <c r="J651" s="15">
        <v>798</v>
      </c>
      <c r="K651" s="15">
        <v>26</v>
      </c>
      <c r="L651" s="20">
        <f t="shared" si="95"/>
        <v>3.2581453634085211E-2</v>
      </c>
      <c r="M651" s="12">
        <v>24</v>
      </c>
      <c r="N651" s="12">
        <v>2</v>
      </c>
      <c r="Q651" s="23"/>
    </row>
    <row r="652" spans="1:20">
      <c r="A652" s="25">
        <v>46101</v>
      </c>
      <c r="B652" s="29" t="s">
        <v>983</v>
      </c>
      <c r="C652" s="19">
        <v>46106</v>
      </c>
      <c r="D652" s="24" t="str">
        <f t="shared" si="94"/>
        <v>R7A</v>
      </c>
      <c r="E652" s="13" t="str">
        <f>VLOOKUP(D:D,工作表2!A:B,2,0)</f>
        <v>邦善</v>
      </c>
      <c r="F652" s="13" t="str">
        <f>VLOOKUP(D:D,工作表2!A:C,3,0)</f>
        <v>灰</v>
      </c>
      <c r="G652" s="17">
        <v>10315762</v>
      </c>
      <c r="H652" s="17" t="s">
        <v>767</v>
      </c>
      <c r="I652" s="18" t="s">
        <v>770</v>
      </c>
      <c r="J652" s="15">
        <v>798</v>
      </c>
      <c r="K652" s="15">
        <v>58</v>
      </c>
      <c r="L652" s="20">
        <f t="shared" si="95"/>
        <v>7.2681704260651625E-2</v>
      </c>
      <c r="M652" s="12">
        <v>45</v>
      </c>
      <c r="N652" s="12">
        <v>13</v>
      </c>
      <c r="Q652" s="23"/>
    </row>
    <row r="653" spans="1:20">
      <c r="A653" s="25">
        <v>46101</v>
      </c>
      <c r="B653" s="29">
        <v>0.52222222222222225</v>
      </c>
      <c r="C653" s="19">
        <v>46106</v>
      </c>
      <c r="D653" s="24" t="str">
        <f t="shared" si="94"/>
        <v>UUS</v>
      </c>
      <c r="E653" s="13" t="str">
        <f>VLOOKUP(D:D,工作表2!A:B,2,0)</f>
        <v>邦善</v>
      </c>
      <c r="F653" s="13" t="str">
        <f>VLOOKUP(D:D,工作表2!A:C,3,0)</f>
        <v>銀</v>
      </c>
      <c r="G653" s="17">
        <v>10315763</v>
      </c>
      <c r="H653" s="17" t="s">
        <v>540</v>
      </c>
      <c r="I653" s="18" t="s">
        <v>551</v>
      </c>
      <c r="J653" s="15">
        <v>798</v>
      </c>
      <c r="K653" s="15">
        <v>17</v>
      </c>
      <c r="L653" s="20">
        <f t="shared" si="95"/>
        <v>2.1303258145363407E-2</v>
      </c>
      <c r="M653" s="12">
        <v>15</v>
      </c>
      <c r="N653" s="12">
        <v>2</v>
      </c>
      <c r="Q653" s="23"/>
    </row>
    <row r="654" spans="1:20">
      <c r="A654" s="25">
        <v>46100</v>
      </c>
      <c r="B654" s="29">
        <v>0.60138888888888886</v>
      </c>
      <c r="C654" s="19">
        <v>46106</v>
      </c>
      <c r="D654" s="24" t="str">
        <f t="shared" si="94"/>
        <v>SYL</v>
      </c>
      <c r="E654" s="13" t="str">
        <f>VLOOKUP(D:D,工作表2!A:B,2,0)</f>
        <v>邦善</v>
      </c>
      <c r="F654" s="13" t="str">
        <f>VLOOKUP(D:D,工作表2!A:C,3,0)</f>
        <v>藍</v>
      </c>
      <c r="G654" s="17">
        <v>10315740</v>
      </c>
      <c r="H654" s="17" t="s">
        <v>594</v>
      </c>
      <c r="I654" s="18" t="s">
        <v>602</v>
      </c>
      <c r="J654" s="15">
        <v>240</v>
      </c>
      <c r="K654" s="15">
        <v>16</v>
      </c>
      <c r="L654" s="20">
        <f t="shared" si="95"/>
        <v>6.6666666666666666E-2</v>
      </c>
      <c r="M654" s="12">
        <v>13</v>
      </c>
      <c r="N654" s="12">
        <v>3</v>
      </c>
      <c r="Q654" s="23"/>
    </row>
    <row r="655" spans="1:20">
      <c r="A655" s="25">
        <v>46100</v>
      </c>
      <c r="B655" s="29">
        <v>0.60625000000000007</v>
      </c>
      <c r="C655" s="19">
        <v>46106</v>
      </c>
      <c r="D655" s="24" t="str">
        <f t="shared" si="94"/>
        <v>SYL</v>
      </c>
      <c r="E655" s="13" t="str">
        <f>VLOOKUP(D:D,工作表2!A:B,2,0)</f>
        <v>邦善</v>
      </c>
      <c r="F655" s="13" t="str">
        <f>VLOOKUP(D:D,工作表2!A:C,3,0)</f>
        <v>藍</v>
      </c>
      <c r="G655" s="17">
        <v>10315742</v>
      </c>
      <c r="H655" s="17" t="s">
        <v>842</v>
      </c>
      <c r="I655" s="18" t="s">
        <v>855</v>
      </c>
      <c r="J655" s="15">
        <v>280</v>
      </c>
      <c r="K655" s="15">
        <v>14</v>
      </c>
      <c r="L655" s="20">
        <f t="shared" si="95"/>
        <v>0.05</v>
      </c>
      <c r="M655" s="12">
        <v>11</v>
      </c>
      <c r="N655" s="12">
        <v>3</v>
      </c>
      <c r="Q655" s="23"/>
    </row>
    <row r="656" spans="1:20">
      <c r="A656" s="25">
        <v>46105</v>
      </c>
      <c r="B656" s="29">
        <v>0.4770833333333333</v>
      </c>
      <c r="C656" s="19">
        <v>46106</v>
      </c>
      <c r="D656" s="24" t="str">
        <f t="shared" si="94"/>
        <v>Q9B</v>
      </c>
      <c r="E656" s="13" t="str">
        <f>VLOOKUP(D:D,工作表2!A:B,2,0)</f>
        <v>邦善</v>
      </c>
      <c r="F656" s="13" t="str">
        <f>VLOOKUP(D:D,工作表2!A:C,3,0)</f>
        <v>黑</v>
      </c>
      <c r="G656" s="17">
        <v>10318277</v>
      </c>
      <c r="H656" s="17" t="s">
        <v>939</v>
      </c>
      <c r="I656" s="18" t="s">
        <v>945</v>
      </c>
      <c r="J656" s="15">
        <v>1000</v>
      </c>
      <c r="K656" s="15">
        <v>262</v>
      </c>
      <c r="L656" s="20">
        <f t="shared" si="95"/>
        <v>0.26200000000000001</v>
      </c>
      <c r="M656" s="12">
        <v>202</v>
      </c>
      <c r="N656" s="12">
        <v>60</v>
      </c>
      <c r="P656" s="32" t="s">
        <v>977</v>
      </c>
      <c r="Q656" s="23" t="str">
        <f>VLOOKUP(H:H,'[1]雷雕處遮蔽&amp;艾仕得8844'!$A:$C,3,0)</f>
        <v>L</v>
      </c>
    </row>
    <row r="657" spans="1:17">
      <c r="A657" s="25">
        <v>46101</v>
      </c>
      <c r="B657" s="29">
        <v>0.54861111111111105</v>
      </c>
      <c r="C657" s="19">
        <v>46106</v>
      </c>
      <c r="D657" s="24" t="str">
        <f t="shared" si="94"/>
        <v>NGW</v>
      </c>
      <c r="E657" s="13" t="str">
        <f>VLOOKUP(D:D,工作表2!A:B,2,0)</f>
        <v>邦善</v>
      </c>
      <c r="F657" s="13" t="str">
        <f>VLOOKUP(D:D,工作表2!A:C,3,0)</f>
        <v>白</v>
      </c>
      <c r="G657" s="17">
        <v>10315754</v>
      </c>
      <c r="H657" s="17" t="s">
        <v>521</v>
      </c>
      <c r="I657" s="18" t="s">
        <v>533</v>
      </c>
      <c r="J657" s="15">
        <v>938</v>
      </c>
      <c r="K657" s="15">
        <v>158</v>
      </c>
      <c r="L657" s="20">
        <f t="shared" si="95"/>
        <v>0.16844349680170576</v>
      </c>
      <c r="M657" s="12">
        <v>85</v>
      </c>
      <c r="N657" s="12">
        <v>73</v>
      </c>
      <c r="Q657" s="23" t="str">
        <f>VLOOKUP(H:H,'[1]雷雕處遮蔽&amp;艾仕得8844'!$A:$C,3,0)</f>
        <v>0度頭蓋</v>
      </c>
    </row>
    <row r="658" spans="1:17">
      <c r="A658" s="25">
        <v>46104</v>
      </c>
      <c r="B658" s="29">
        <v>0.40763888888888888</v>
      </c>
      <c r="C658" s="11">
        <v>46107</v>
      </c>
      <c r="D658" s="24" t="str">
        <f t="shared" ref="D658:D672" si="96">RIGHT(I658,3)</f>
        <v>9DB</v>
      </c>
      <c r="E658" s="13" t="str">
        <f>VLOOKUP(D:D,工作表2!A:B,2,0)</f>
        <v>敦陽</v>
      </c>
      <c r="F658" s="13" t="str">
        <f>VLOOKUP(D:D,工作表2!A:C,3,0)</f>
        <v>黑</v>
      </c>
      <c r="G658" s="17">
        <v>10322668</v>
      </c>
      <c r="H658" s="17" t="s">
        <v>986</v>
      </c>
      <c r="I658" s="18" t="s">
        <v>989</v>
      </c>
      <c r="J658" s="15">
        <v>266</v>
      </c>
      <c r="K658" s="15">
        <v>48</v>
      </c>
      <c r="L658" s="20">
        <f t="shared" ref="L658:L672" si="97">K658/J658</f>
        <v>0.18045112781954886</v>
      </c>
      <c r="M658" s="12">
        <v>43</v>
      </c>
      <c r="N658" s="12">
        <v>5</v>
      </c>
      <c r="P658" s="32" t="s">
        <v>990</v>
      </c>
      <c r="Q658" s="23"/>
    </row>
    <row r="659" spans="1:17">
      <c r="A659" s="25">
        <v>46100</v>
      </c>
      <c r="B659" s="29">
        <v>0.5229166666666667</v>
      </c>
      <c r="C659" s="11">
        <v>46107</v>
      </c>
      <c r="D659" s="24" t="str">
        <f t="shared" si="96"/>
        <v>NBB</v>
      </c>
      <c r="E659" s="13" t="str">
        <f>VLOOKUP(D:D,工作表2!A:B,2,0)</f>
        <v>邦善</v>
      </c>
      <c r="F659" s="13" t="str">
        <f>VLOOKUP(D:D,工作表2!A:C,3,0)</f>
        <v>霧面黑</v>
      </c>
      <c r="G659" s="17">
        <v>10315757</v>
      </c>
      <c r="H659" s="17" t="s">
        <v>369</v>
      </c>
      <c r="I659" s="18" t="s">
        <v>371</v>
      </c>
      <c r="J659" s="15">
        <v>4788</v>
      </c>
      <c r="K659" s="15">
        <v>223</v>
      </c>
      <c r="L659" s="20">
        <f t="shared" si="97"/>
        <v>4.6574770258980783E-2</v>
      </c>
      <c r="M659" s="12">
        <v>180</v>
      </c>
      <c r="N659" s="12">
        <v>43</v>
      </c>
      <c r="Q659" s="23"/>
    </row>
    <row r="660" spans="1:17">
      <c r="A660" s="25">
        <v>46101</v>
      </c>
      <c r="B660" s="29">
        <v>0.47361111111111115</v>
      </c>
      <c r="C660" s="19">
        <v>46107</v>
      </c>
      <c r="D660" s="24" t="str">
        <f t="shared" si="96"/>
        <v>RCA</v>
      </c>
      <c r="E660" s="13" t="str">
        <f>VLOOKUP(D:D,工作表2!A:B,2,0)</f>
        <v>邦善</v>
      </c>
      <c r="F660" s="13" t="str">
        <f>VLOOKUP(D:D,工作表2!A:C,3,0)</f>
        <v>灰</v>
      </c>
      <c r="G660" s="17">
        <v>10315758</v>
      </c>
      <c r="H660" s="17" t="s">
        <v>402</v>
      </c>
      <c r="I660" s="18" t="s">
        <v>404</v>
      </c>
      <c r="J660" s="15">
        <v>798</v>
      </c>
      <c r="K660" s="15">
        <v>43</v>
      </c>
      <c r="L660" s="20">
        <f t="shared" si="97"/>
        <v>5.3884711779448619E-2</v>
      </c>
      <c r="M660" s="12">
        <v>37</v>
      </c>
      <c r="N660" s="12">
        <v>6</v>
      </c>
      <c r="Q660" s="23"/>
    </row>
    <row r="661" spans="1:17">
      <c r="A661" s="25">
        <v>46100</v>
      </c>
      <c r="B661" s="29">
        <v>0.58611111111111114</v>
      </c>
      <c r="C661" s="19">
        <v>46107</v>
      </c>
      <c r="D661" s="24" t="str">
        <f t="shared" si="96"/>
        <v>SYL</v>
      </c>
      <c r="E661" s="13" t="str">
        <f>VLOOKUP(D:D,工作表2!A:B,2,0)</f>
        <v>邦善</v>
      </c>
      <c r="F661" s="13" t="str">
        <f>VLOOKUP(D:D,工作表2!A:C,3,0)</f>
        <v>藍</v>
      </c>
      <c r="G661" s="17">
        <v>10315765</v>
      </c>
      <c r="H661" s="17" t="s">
        <v>384</v>
      </c>
      <c r="I661" s="18" t="s">
        <v>389</v>
      </c>
      <c r="J661" s="15">
        <v>2660</v>
      </c>
      <c r="K661" s="15">
        <v>184</v>
      </c>
      <c r="L661" s="20">
        <f t="shared" si="97"/>
        <v>6.9172932330827067E-2</v>
      </c>
      <c r="M661" s="12">
        <v>150</v>
      </c>
      <c r="N661" s="12">
        <v>34</v>
      </c>
      <c r="Q661" s="23"/>
    </row>
    <row r="662" spans="1:17">
      <c r="A662" s="25">
        <v>46101</v>
      </c>
      <c r="B662" s="29">
        <v>0.47569444444444442</v>
      </c>
      <c r="C662" s="19">
        <v>46107</v>
      </c>
      <c r="D662" s="24" t="str">
        <f t="shared" si="96"/>
        <v>UUS</v>
      </c>
      <c r="E662" s="13" t="str">
        <f>VLOOKUP(D:D,工作表2!A:B,2,0)</f>
        <v>邦善</v>
      </c>
      <c r="F662" s="13" t="str">
        <f>VLOOKUP(D:D,工作表2!A:C,3,0)</f>
        <v>銀</v>
      </c>
      <c r="G662" s="17">
        <v>10315759</v>
      </c>
      <c r="H662" s="17" t="s">
        <v>418</v>
      </c>
      <c r="I662" s="18" t="s">
        <v>421</v>
      </c>
      <c r="J662" s="15">
        <v>798</v>
      </c>
      <c r="K662" s="15">
        <v>36</v>
      </c>
      <c r="L662" s="20">
        <f t="shared" si="97"/>
        <v>4.5112781954887216E-2</v>
      </c>
      <c r="M662" s="12">
        <v>30</v>
      </c>
      <c r="N662" s="12">
        <v>6</v>
      </c>
      <c r="Q662" s="23"/>
    </row>
    <row r="663" spans="1:17">
      <c r="A663" s="25">
        <v>46100</v>
      </c>
      <c r="B663" s="29">
        <v>0.62569444444444444</v>
      </c>
      <c r="C663" s="19">
        <v>46107</v>
      </c>
      <c r="D663" s="24" t="str">
        <f t="shared" si="96"/>
        <v>VEA</v>
      </c>
      <c r="E663" s="13" t="str">
        <f>VLOOKUP(D:D,工作表2!A:B,2,0)</f>
        <v>敦陽</v>
      </c>
      <c r="F663" s="13" t="str">
        <f>VLOOKUP(D:D,工作表2!A:C,3,0)</f>
        <v>灰</v>
      </c>
      <c r="G663" s="17">
        <v>10322666</v>
      </c>
      <c r="H663" s="17" t="s">
        <v>757</v>
      </c>
      <c r="I663" s="18" t="s">
        <v>762</v>
      </c>
      <c r="J663" s="15">
        <v>266</v>
      </c>
      <c r="K663" s="15">
        <v>26</v>
      </c>
      <c r="L663" s="20">
        <f t="shared" si="97"/>
        <v>9.7744360902255634E-2</v>
      </c>
      <c r="M663" s="12">
        <v>16</v>
      </c>
      <c r="N663" s="12">
        <v>10</v>
      </c>
      <c r="Q663" s="23"/>
    </row>
    <row r="664" spans="1:17">
      <c r="A664" s="25">
        <v>46100</v>
      </c>
      <c r="B664" s="29">
        <v>0.63194444444444442</v>
      </c>
      <c r="C664" s="19">
        <v>46107</v>
      </c>
      <c r="D664" s="24" t="str">
        <f t="shared" si="96"/>
        <v>VGA</v>
      </c>
      <c r="E664" s="13" t="str">
        <f>VLOOKUP(D:D,工作表2!A:B,2,0)</f>
        <v>邦善</v>
      </c>
      <c r="F664" s="13" t="str">
        <f>VLOOKUP(D:D,工作表2!A:C,3,0)</f>
        <v>灰</v>
      </c>
      <c r="G664" s="17">
        <v>10322667</v>
      </c>
      <c r="H664" s="17" t="s">
        <v>985</v>
      </c>
      <c r="I664" s="18" t="s">
        <v>988</v>
      </c>
      <c r="J664" s="15">
        <v>798</v>
      </c>
      <c r="K664" s="15">
        <v>56</v>
      </c>
      <c r="L664" s="20">
        <f t="shared" si="97"/>
        <v>7.0175438596491224E-2</v>
      </c>
      <c r="M664" s="12">
        <v>52</v>
      </c>
      <c r="N664" s="12">
        <v>4</v>
      </c>
      <c r="Q664" s="23"/>
    </row>
    <row r="665" spans="1:17">
      <c r="A665" s="25">
        <v>46106</v>
      </c>
      <c r="B665" s="29">
        <v>0.3840277777777778</v>
      </c>
      <c r="C665" s="19">
        <v>46107</v>
      </c>
      <c r="D665" s="24" t="str">
        <f t="shared" si="96"/>
        <v>QRB</v>
      </c>
      <c r="E665" s="13" t="str">
        <f>VLOOKUP(D:D,工作表2!A:B,2,0)</f>
        <v>邦善</v>
      </c>
      <c r="F665" s="13" t="str">
        <f>VLOOKUP(D:D,工作表2!A:C,3,0)</f>
        <v>霧面黑</v>
      </c>
      <c r="G665" s="17">
        <v>10321530</v>
      </c>
      <c r="H665" s="17" t="s">
        <v>170</v>
      </c>
      <c r="I665" s="18" t="s">
        <v>171</v>
      </c>
      <c r="J665" s="15">
        <v>25536</v>
      </c>
      <c r="K665" s="15">
        <v>936</v>
      </c>
      <c r="L665" s="20">
        <f t="shared" si="97"/>
        <v>3.6654135338345863E-2</v>
      </c>
      <c r="M665" s="12">
        <v>565</v>
      </c>
      <c r="N665" s="12">
        <v>352</v>
      </c>
      <c r="O665" s="15">
        <v>19</v>
      </c>
      <c r="Q665" s="23"/>
    </row>
    <row r="666" spans="1:17">
      <c r="A666" s="25">
        <v>46104</v>
      </c>
      <c r="B666" s="29">
        <v>0.60138888888888886</v>
      </c>
      <c r="C666" s="19">
        <v>46107</v>
      </c>
      <c r="D666" s="24" t="str">
        <f t="shared" si="96"/>
        <v>NGW</v>
      </c>
      <c r="E666" s="13" t="str">
        <f>VLOOKUP(D:D,工作表2!A:B,2,0)</f>
        <v>邦善</v>
      </c>
      <c r="F666" s="13" t="str">
        <f>VLOOKUP(D:D,工作表2!A:C,3,0)</f>
        <v>白</v>
      </c>
      <c r="G666" s="17">
        <v>10316421</v>
      </c>
      <c r="H666" s="17" t="s">
        <v>882</v>
      </c>
      <c r="I666" s="18" t="s">
        <v>884</v>
      </c>
      <c r="J666" s="15">
        <v>520</v>
      </c>
      <c r="K666" s="15">
        <v>33</v>
      </c>
      <c r="L666" s="20">
        <f t="shared" si="97"/>
        <v>6.3461538461538458E-2</v>
      </c>
      <c r="M666" s="12">
        <v>19</v>
      </c>
      <c r="N666" s="12">
        <v>14</v>
      </c>
      <c r="Q666" s="23" t="str">
        <f>VLOOKUP(H:H,'[1]雷雕處遮蔽&amp;艾仕得8844'!$A:$C,3,0)</f>
        <v>L</v>
      </c>
    </row>
    <row r="667" spans="1:17">
      <c r="A667" s="25">
        <v>46101</v>
      </c>
      <c r="B667" s="29">
        <v>0.53055555555555556</v>
      </c>
      <c r="C667" s="19">
        <v>46107</v>
      </c>
      <c r="D667" s="24" t="str">
        <f t="shared" si="96"/>
        <v>NGW</v>
      </c>
      <c r="E667" s="13" t="str">
        <f>VLOOKUP(D:D,工作表2!A:B,2,0)</f>
        <v>邦善</v>
      </c>
      <c r="F667" s="13" t="str">
        <f>VLOOKUP(D:D,工作表2!A:C,3,0)</f>
        <v>白</v>
      </c>
      <c r="G667" s="17">
        <v>10316423</v>
      </c>
      <c r="H667" s="17" t="s">
        <v>374</v>
      </c>
      <c r="I667" s="18" t="s">
        <v>378</v>
      </c>
      <c r="J667" s="15">
        <v>560</v>
      </c>
      <c r="K667" s="15">
        <v>49</v>
      </c>
      <c r="L667" s="20">
        <f t="shared" si="97"/>
        <v>8.7499999999999994E-2</v>
      </c>
      <c r="M667" s="12">
        <v>40</v>
      </c>
      <c r="N667" s="12">
        <v>9</v>
      </c>
      <c r="Q667" s="23" t="str">
        <f>VLOOKUP(H:H,'[1]雷雕處遮蔽&amp;艾仕得8844'!$A:$C,3,0)</f>
        <v>L</v>
      </c>
    </row>
    <row r="668" spans="1:17">
      <c r="A668" s="25">
        <v>46104</v>
      </c>
      <c r="B668" s="29">
        <v>0.58958333333333335</v>
      </c>
      <c r="C668" s="19">
        <v>46107</v>
      </c>
      <c r="D668" s="24" t="str">
        <f t="shared" si="96"/>
        <v>NGW</v>
      </c>
      <c r="E668" s="13" t="str">
        <f>VLOOKUP(D:D,工作表2!A:B,2,0)</f>
        <v>邦善</v>
      </c>
      <c r="F668" s="13" t="str">
        <f>VLOOKUP(D:D,工作表2!A:C,3,0)</f>
        <v>白</v>
      </c>
      <c r="G668" s="17">
        <v>10316427</v>
      </c>
      <c r="H668" s="17" t="s">
        <v>435</v>
      </c>
      <c r="I668" s="18" t="s">
        <v>437</v>
      </c>
      <c r="J668" s="15">
        <v>520</v>
      </c>
      <c r="K668" s="15">
        <v>42</v>
      </c>
      <c r="L668" s="20">
        <f t="shared" si="97"/>
        <v>8.0769230769230774E-2</v>
      </c>
      <c r="M668" s="12">
        <v>35</v>
      </c>
      <c r="N668" s="12">
        <v>7</v>
      </c>
      <c r="Q668" s="23" t="str">
        <f>VLOOKUP(H:H,'[1]雷雕處遮蔽&amp;艾仕得8844'!$A:$C,3,0)</f>
        <v>L</v>
      </c>
    </row>
    <row r="669" spans="1:17">
      <c r="A669" s="25">
        <v>46106</v>
      </c>
      <c r="B669" s="29">
        <v>0.47638888888888892</v>
      </c>
      <c r="C669" s="19">
        <v>46107</v>
      </c>
      <c r="D669" s="24" t="str">
        <f t="shared" si="96"/>
        <v>Q9B</v>
      </c>
      <c r="E669" s="13" t="str">
        <f>VLOOKUP(D:D,工作表2!A:B,2,0)</f>
        <v>邦善</v>
      </c>
      <c r="F669" s="13" t="str">
        <f>VLOOKUP(D:D,工作表2!A:C,3,0)</f>
        <v>黑</v>
      </c>
      <c r="G669" s="17">
        <v>10318272</v>
      </c>
      <c r="H669" s="17" t="s">
        <v>967</v>
      </c>
      <c r="I669" s="18" t="s">
        <v>972</v>
      </c>
      <c r="J669" s="15">
        <v>1000</v>
      </c>
      <c r="K669" s="15">
        <v>253</v>
      </c>
      <c r="L669" s="20">
        <f t="shared" si="97"/>
        <v>0.253</v>
      </c>
      <c r="M669" s="12">
        <v>200</v>
      </c>
      <c r="N669" s="12">
        <v>53</v>
      </c>
      <c r="P669" s="32" t="s">
        <v>977</v>
      </c>
      <c r="Q669" s="23" t="str">
        <f>VLOOKUP(H:H,'[1]雷雕處遮蔽&amp;艾仕得8844'!$A:$C,3,0)</f>
        <v>R</v>
      </c>
    </row>
    <row r="670" spans="1:17">
      <c r="A670" s="25">
        <v>46106</v>
      </c>
      <c r="B670" s="29">
        <v>0.5541666666666667</v>
      </c>
      <c r="C670" s="19">
        <v>46107</v>
      </c>
      <c r="D670" s="24" t="str">
        <f t="shared" si="96"/>
        <v>Q9B</v>
      </c>
      <c r="E670" s="13" t="str">
        <f>VLOOKUP(D:D,工作表2!A:B,2,0)</f>
        <v>邦善</v>
      </c>
      <c r="F670" s="13" t="str">
        <f>VLOOKUP(D:D,工作表2!A:C,3,0)</f>
        <v>黑</v>
      </c>
      <c r="G670" s="17">
        <v>10323116</v>
      </c>
      <c r="H670" s="17" t="s">
        <v>816</v>
      </c>
      <c r="I670" s="18" t="s">
        <v>825</v>
      </c>
      <c r="J670" s="15">
        <v>240</v>
      </c>
      <c r="K670" s="15">
        <v>40</v>
      </c>
      <c r="L670" s="20">
        <f t="shared" si="97"/>
        <v>0.16666666666666666</v>
      </c>
      <c r="M670" s="12">
        <v>30</v>
      </c>
      <c r="N670" s="12">
        <v>10</v>
      </c>
      <c r="Q670" s="23" t="str">
        <f>VLOOKUP(H:H,'[1]雷雕處遮蔽&amp;艾仕得8844'!$A:$C,3,0)</f>
        <v>R</v>
      </c>
    </row>
    <row r="671" spans="1:17">
      <c r="A671" s="25">
        <v>46101</v>
      </c>
      <c r="B671" s="29">
        <v>0.55555555555555558</v>
      </c>
      <c r="C671" s="19">
        <v>46107</v>
      </c>
      <c r="D671" s="24" t="str">
        <f t="shared" si="96"/>
        <v>N8B</v>
      </c>
      <c r="E671" s="13" t="str">
        <f>VLOOKUP(D:D,工作表2!A:B,2,0)</f>
        <v>邦善</v>
      </c>
      <c r="F671" s="13" t="str">
        <f>VLOOKUP(D:D,工作表2!A:C,3,0)</f>
        <v>霧面黑</v>
      </c>
      <c r="G671" s="17">
        <v>10315755</v>
      </c>
      <c r="H671" s="17" t="s">
        <v>607</v>
      </c>
      <c r="I671" s="18" t="s">
        <v>609</v>
      </c>
      <c r="J671" s="15">
        <v>804</v>
      </c>
      <c r="K671" s="15">
        <v>37</v>
      </c>
      <c r="L671" s="20">
        <f t="shared" si="97"/>
        <v>4.6019900497512436E-2</v>
      </c>
      <c r="M671" s="12">
        <v>24</v>
      </c>
      <c r="N671" s="12">
        <v>13</v>
      </c>
      <c r="Q671" s="23" t="str">
        <f>VLOOKUP(H:H,'[1]雷雕處遮蔽&amp;艾仕得8844'!$A:$C,3,0)</f>
        <v>0度頭蓋</v>
      </c>
    </row>
    <row r="672" spans="1:17">
      <c r="A672" s="25">
        <v>46106</v>
      </c>
      <c r="B672" s="29">
        <v>0.6166666666666667</v>
      </c>
      <c r="C672" s="19">
        <v>46107</v>
      </c>
      <c r="D672" s="24" t="str">
        <f t="shared" si="96"/>
        <v>42W</v>
      </c>
      <c r="E672" s="13" t="str">
        <f>VLOOKUP(D:D,工作表2!A:B,2,0)</f>
        <v>敦陽</v>
      </c>
      <c r="F672" s="13" t="str">
        <f>VLOOKUP(D:D,工作表2!A:C,3,0)</f>
        <v>白</v>
      </c>
      <c r="G672" s="17">
        <v>10320712</v>
      </c>
      <c r="H672" s="17" t="s">
        <v>984</v>
      </c>
      <c r="I672" s="18" t="s">
        <v>987</v>
      </c>
      <c r="J672" s="15">
        <v>30</v>
      </c>
      <c r="K672" s="15">
        <v>5</v>
      </c>
      <c r="L672" s="20">
        <f t="shared" si="97"/>
        <v>0.16666666666666666</v>
      </c>
      <c r="M672" s="12">
        <v>4</v>
      </c>
      <c r="N672" s="12">
        <v>1</v>
      </c>
      <c r="Q672" s="23"/>
    </row>
    <row r="673" spans="1:17">
      <c r="A673" s="25">
        <v>46106</v>
      </c>
      <c r="B673" s="29">
        <v>0.3840277777777778</v>
      </c>
      <c r="C673" s="11">
        <v>46108</v>
      </c>
      <c r="D673" s="24" t="str">
        <f t="shared" ref="D673:D678" si="98">RIGHT(I673,3)</f>
        <v>QRB</v>
      </c>
      <c r="E673" s="13" t="str">
        <f>VLOOKUP(D:D,工作表2!A:B,2,0)</f>
        <v>邦善</v>
      </c>
      <c r="F673" s="13" t="str">
        <f>VLOOKUP(D:D,工作表2!A:C,3,0)</f>
        <v>霧面黑</v>
      </c>
      <c r="G673" s="17">
        <v>10321530</v>
      </c>
      <c r="H673" s="17" t="s">
        <v>170</v>
      </c>
      <c r="I673" s="18" t="s">
        <v>171</v>
      </c>
      <c r="J673" s="15">
        <v>1064</v>
      </c>
      <c r="K673" s="15">
        <v>88</v>
      </c>
      <c r="L673" s="20">
        <f t="shared" ref="L673:L678" si="99">K673/J673</f>
        <v>8.2706766917293228E-2</v>
      </c>
      <c r="M673" s="12">
        <v>50</v>
      </c>
      <c r="N673" s="12">
        <v>28</v>
      </c>
      <c r="O673" s="15">
        <v>10</v>
      </c>
      <c r="Q673" s="23"/>
    </row>
    <row r="674" spans="1:17">
      <c r="A674" s="25">
        <v>46107</v>
      </c>
      <c r="B674" s="29">
        <v>0.37916666666666665</v>
      </c>
      <c r="C674" s="11">
        <v>46108</v>
      </c>
      <c r="D674" s="24" t="str">
        <f t="shared" si="98"/>
        <v>S3B</v>
      </c>
      <c r="E674" s="13" t="str">
        <f>VLOOKUP(D:D,工作表2!A:B,2,0)</f>
        <v>邦善</v>
      </c>
      <c r="F674" s="13" t="str">
        <f>VLOOKUP(D:D,工作表2!A:C,3,0)</f>
        <v>黑</v>
      </c>
      <c r="G674" s="17">
        <v>10321522</v>
      </c>
      <c r="H674" s="17" t="s">
        <v>375</v>
      </c>
      <c r="I674" s="18" t="s">
        <v>379</v>
      </c>
      <c r="J674" s="15">
        <v>26600</v>
      </c>
      <c r="K674" s="15">
        <v>1358</v>
      </c>
      <c r="L674" s="20">
        <f t="shared" si="99"/>
        <v>5.105263157894737E-2</v>
      </c>
      <c r="M674" s="12">
        <v>1206</v>
      </c>
      <c r="N674" s="12">
        <v>152</v>
      </c>
      <c r="Q674" s="23"/>
    </row>
    <row r="675" spans="1:17">
      <c r="A675" s="25">
        <v>46106</v>
      </c>
      <c r="B675" s="29">
        <v>0.59375</v>
      </c>
      <c r="C675" s="19">
        <v>46108</v>
      </c>
      <c r="D675" s="24" t="str">
        <f t="shared" si="98"/>
        <v>NGW</v>
      </c>
      <c r="E675" s="13" t="str">
        <f>VLOOKUP(D:D,工作表2!A:B,2,0)</f>
        <v>邦善</v>
      </c>
      <c r="F675" s="13" t="str">
        <f>VLOOKUP(D:D,工作表2!A:C,3,0)</f>
        <v>白</v>
      </c>
      <c r="G675" s="17">
        <v>10316441</v>
      </c>
      <c r="H675" s="17" t="s">
        <v>517</v>
      </c>
      <c r="I675" s="18" t="s">
        <v>529</v>
      </c>
      <c r="J675" s="15">
        <v>360</v>
      </c>
      <c r="K675" s="15">
        <v>21</v>
      </c>
      <c r="L675" s="20">
        <f t="shared" si="99"/>
        <v>5.8333333333333334E-2</v>
      </c>
      <c r="M675" s="12">
        <v>16</v>
      </c>
      <c r="N675" s="12">
        <v>5</v>
      </c>
      <c r="Q675" s="23" t="str">
        <f>VLOOKUP(H:H,'[1]雷雕處遮蔽&amp;艾仕得8844'!$A:$C,3,0)</f>
        <v>L</v>
      </c>
    </row>
    <row r="676" spans="1:17">
      <c r="A676" s="25">
        <v>46104</v>
      </c>
      <c r="B676" s="29">
        <v>0.67847222222222225</v>
      </c>
      <c r="C676" s="19">
        <v>46108</v>
      </c>
      <c r="D676" s="24" t="str">
        <f t="shared" si="98"/>
        <v>NGW</v>
      </c>
      <c r="E676" s="13" t="str">
        <f>VLOOKUP(D:D,工作表2!A:B,2,0)</f>
        <v>邦善</v>
      </c>
      <c r="F676" s="13" t="str">
        <f>VLOOKUP(D:D,工作表2!A:C,3,0)</f>
        <v>白</v>
      </c>
      <c r="G676" s="17">
        <v>10316424</v>
      </c>
      <c r="H676" s="17" t="s">
        <v>426</v>
      </c>
      <c r="I676" s="18" t="s">
        <v>431</v>
      </c>
      <c r="J676" s="15">
        <v>600</v>
      </c>
      <c r="K676" s="15">
        <v>46</v>
      </c>
      <c r="L676" s="20">
        <f t="shared" si="99"/>
        <v>7.6666666666666661E-2</v>
      </c>
      <c r="M676" s="12">
        <v>27</v>
      </c>
      <c r="N676" s="12">
        <v>19</v>
      </c>
      <c r="Q676" s="23" t="str">
        <f>VLOOKUP(H:H,'[1]雷雕處遮蔽&amp;艾仕得8844'!$A:$C,3,0)</f>
        <v>R</v>
      </c>
    </row>
    <row r="677" spans="1:17">
      <c r="A677" s="25">
        <v>46101</v>
      </c>
      <c r="B677" s="29">
        <v>0.54236111111111118</v>
      </c>
      <c r="C677" s="19">
        <v>46108</v>
      </c>
      <c r="D677" s="24" t="str">
        <f t="shared" si="98"/>
        <v>NGW</v>
      </c>
      <c r="E677" s="13" t="str">
        <f>VLOOKUP(D:D,工作表2!A:B,2,0)</f>
        <v>邦善</v>
      </c>
      <c r="F677" s="13" t="str">
        <f>VLOOKUP(D:D,工作表2!A:C,3,0)</f>
        <v>白</v>
      </c>
      <c r="G677" s="17">
        <v>10316429</v>
      </c>
      <c r="H677" s="17" t="s">
        <v>377</v>
      </c>
      <c r="I677" s="18" t="s">
        <v>381</v>
      </c>
      <c r="J677" s="15">
        <v>280</v>
      </c>
      <c r="K677" s="15">
        <v>12</v>
      </c>
      <c r="L677" s="20">
        <f t="shared" si="99"/>
        <v>4.2857142857142858E-2</v>
      </c>
      <c r="M677" s="12">
        <v>10</v>
      </c>
      <c r="N677" s="12">
        <v>2</v>
      </c>
      <c r="Q677" s="23"/>
    </row>
    <row r="678" spans="1:17">
      <c r="A678" s="25">
        <v>46107</v>
      </c>
      <c r="B678" s="29">
        <v>0.4777777777777778</v>
      </c>
      <c r="C678" s="19">
        <v>46108</v>
      </c>
      <c r="D678" s="24" t="str">
        <f t="shared" si="98"/>
        <v>Q9B</v>
      </c>
      <c r="E678" s="13" t="str">
        <f>VLOOKUP(D:D,工作表2!A:B,2,0)</f>
        <v>邦善</v>
      </c>
      <c r="F678" s="13" t="str">
        <f>VLOOKUP(D:D,工作表2!A:C,3,0)</f>
        <v>黑</v>
      </c>
      <c r="G678" s="17">
        <v>10318584</v>
      </c>
      <c r="H678" s="17" t="s">
        <v>967</v>
      </c>
      <c r="I678" s="18" t="s">
        <v>972</v>
      </c>
      <c r="J678" s="15">
        <v>1000</v>
      </c>
      <c r="K678" s="15">
        <v>307</v>
      </c>
      <c r="L678" s="20">
        <f t="shared" si="99"/>
        <v>0.307</v>
      </c>
      <c r="M678" s="12">
        <v>202</v>
      </c>
      <c r="N678" s="12">
        <v>105</v>
      </c>
      <c r="P678" s="32" t="s">
        <v>994</v>
      </c>
      <c r="Q678" s="23" t="str">
        <f>VLOOKUP(H:H,'[1]雷雕處遮蔽&amp;艾仕得8844'!$A:$C,3,0)</f>
        <v>R</v>
      </c>
    </row>
    <row r="679" spans="1:17">
      <c r="A679" s="25">
        <v>46105</v>
      </c>
      <c r="B679" s="29">
        <v>0.53680555555555554</v>
      </c>
      <c r="C679" s="11">
        <v>46111</v>
      </c>
      <c r="D679" s="24" t="str">
        <f t="shared" ref="D679:D691" si="100">RIGHT(I679,3)</f>
        <v>N9B</v>
      </c>
      <c r="E679" s="13" t="str">
        <f>VLOOKUP(D:D,工作表2!A:B,2,0)</f>
        <v>邦善</v>
      </c>
      <c r="F679" s="13" t="str">
        <f>VLOOKUP(D:D,工作表2!A:C,3,0)</f>
        <v>黑</v>
      </c>
      <c r="G679" s="17">
        <v>10314183</v>
      </c>
      <c r="H679" s="17" t="s">
        <v>447</v>
      </c>
      <c r="I679" s="18" t="s">
        <v>448</v>
      </c>
      <c r="J679" s="15">
        <v>1330</v>
      </c>
      <c r="K679" s="15">
        <v>154</v>
      </c>
      <c r="L679" s="20">
        <f t="shared" ref="L679:L691" si="101">K679/J679</f>
        <v>0.11578947368421053</v>
      </c>
      <c r="M679" s="12">
        <v>102</v>
      </c>
      <c r="N679" s="12">
        <v>52</v>
      </c>
      <c r="Q679" s="23"/>
    </row>
    <row r="680" spans="1:17">
      <c r="A680" s="25">
        <v>46108</v>
      </c>
      <c r="B680" s="29">
        <v>0.4284722222222222</v>
      </c>
      <c r="C680" s="11">
        <v>46111</v>
      </c>
      <c r="D680" s="24" t="str">
        <f t="shared" si="100"/>
        <v>QRB</v>
      </c>
      <c r="E680" s="13" t="str">
        <f>VLOOKUP(D:D,工作表2!A:B,2,0)</f>
        <v>邦善</v>
      </c>
      <c r="F680" s="13" t="str">
        <f>VLOOKUP(D:D,工作表2!A:C,3,0)</f>
        <v>霧面黑</v>
      </c>
      <c r="G680" s="17">
        <v>10321531</v>
      </c>
      <c r="H680" s="17" t="s">
        <v>170</v>
      </c>
      <c r="I680" s="18" t="s">
        <v>171</v>
      </c>
      <c r="J680" s="15">
        <v>18620</v>
      </c>
      <c r="K680" s="15">
        <v>856</v>
      </c>
      <c r="L680" s="20">
        <f t="shared" si="101"/>
        <v>4.5972073039742212E-2</v>
      </c>
      <c r="M680" s="12">
        <v>724</v>
      </c>
      <c r="N680" s="12">
        <v>126</v>
      </c>
      <c r="O680" s="15">
        <v>6</v>
      </c>
      <c r="Q680" s="23"/>
    </row>
    <row r="681" spans="1:17">
      <c r="A681" s="25">
        <v>46108</v>
      </c>
      <c r="B681" s="29">
        <v>0.55069444444444449</v>
      </c>
      <c r="C681" s="19">
        <v>46111</v>
      </c>
      <c r="D681" s="24" t="str">
        <f t="shared" si="100"/>
        <v>S3B</v>
      </c>
      <c r="E681" s="13" t="str">
        <f>VLOOKUP(D:D,工作表2!A:B,2,0)</f>
        <v>邦善</v>
      </c>
      <c r="F681" s="13" t="str">
        <f>VLOOKUP(D:D,工作表2!A:C,3,0)</f>
        <v>黑</v>
      </c>
      <c r="G681" s="17">
        <v>10321536</v>
      </c>
      <c r="H681" s="17" t="s">
        <v>375</v>
      </c>
      <c r="I681" s="18" t="s">
        <v>379</v>
      </c>
      <c r="J681" s="15">
        <v>4788</v>
      </c>
      <c r="K681" s="15">
        <v>252</v>
      </c>
      <c r="L681" s="20">
        <f t="shared" si="101"/>
        <v>5.2631578947368418E-2</v>
      </c>
      <c r="M681" s="12">
        <v>200</v>
      </c>
      <c r="N681" s="12">
        <v>52</v>
      </c>
      <c r="Q681" s="23"/>
    </row>
    <row r="682" spans="1:17">
      <c r="A682" s="25">
        <v>46108</v>
      </c>
      <c r="B682" s="29">
        <v>0.56874999999999998</v>
      </c>
      <c r="C682" s="19">
        <v>46111</v>
      </c>
      <c r="D682" s="24" t="str">
        <f t="shared" si="100"/>
        <v>S8A</v>
      </c>
      <c r="E682" s="13" t="str">
        <f>VLOOKUP(D:D,工作表2!A:B,2,0)</f>
        <v>邦善</v>
      </c>
      <c r="F682" s="13" t="str">
        <f>VLOOKUP(D:D,工作表2!A:C,3,0)</f>
        <v>灰</v>
      </c>
      <c r="G682" s="17">
        <v>10321550</v>
      </c>
      <c r="H682" s="17" t="s">
        <v>612</v>
      </c>
      <c r="I682" s="18" t="s">
        <v>622</v>
      </c>
      <c r="J682" s="15">
        <v>2128</v>
      </c>
      <c r="K682" s="15">
        <v>92</v>
      </c>
      <c r="L682" s="20">
        <f t="shared" si="101"/>
        <v>4.3233082706766915E-2</v>
      </c>
      <c r="M682" s="12">
        <v>82</v>
      </c>
      <c r="N682" s="12">
        <v>10</v>
      </c>
      <c r="Q682" s="23"/>
    </row>
    <row r="683" spans="1:17">
      <c r="A683" s="25">
        <v>46108</v>
      </c>
      <c r="B683" s="29">
        <v>0.5805555555555556</v>
      </c>
      <c r="C683" s="19">
        <v>46111</v>
      </c>
      <c r="D683" s="24" t="str">
        <f t="shared" si="100"/>
        <v>U3L</v>
      </c>
      <c r="E683" s="13" t="str">
        <f>VLOOKUP(D:D,工作表2!A:B,2,0)</f>
        <v>邦善</v>
      </c>
      <c r="F683" s="13" t="str">
        <f>VLOOKUP(D:D,工作表2!A:C,3,0)</f>
        <v>藍</v>
      </c>
      <c r="G683" s="17">
        <v>10321552</v>
      </c>
      <c r="H683" s="17" t="s">
        <v>392</v>
      </c>
      <c r="I683" s="18" t="s">
        <v>394</v>
      </c>
      <c r="J683" s="15">
        <v>532</v>
      </c>
      <c r="K683" s="15">
        <v>24</v>
      </c>
      <c r="L683" s="20">
        <f t="shared" si="101"/>
        <v>4.5112781954887216E-2</v>
      </c>
      <c r="M683" s="12">
        <v>20</v>
      </c>
      <c r="N683" s="12">
        <v>4</v>
      </c>
      <c r="Q683" s="23"/>
    </row>
    <row r="684" spans="1:17">
      <c r="A684" s="25">
        <v>46108</v>
      </c>
      <c r="B684" s="29">
        <v>0.57777777777777783</v>
      </c>
      <c r="C684" s="19">
        <v>46111</v>
      </c>
      <c r="D684" s="24" t="str">
        <f t="shared" si="100"/>
        <v>VLS</v>
      </c>
      <c r="E684" s="13" t="str">
        <f>VLOOKUP(D:D,工作表2!A:B,2,0)</f>
        <v>邦善</v>
      </c>
      <c r="F684" s="13" t="str">
        <f>VLOOKUP(D:D,工作表2!A:C,3,0)</f>
        <v>銀</v>
      </c>
      <c r="G684" s="17">
        <v>10321551</v>
      </c>
      <c r="H684" s="17" t="s">
        <v>383</v>
      </c>
      <c r="I684" s="18" t="s">
        <v>388</v>
      </c>
      <c r="J684" s="15">
        <v>798</v>
      </c>
      <c r="K684" s="15">
        <v>45</v>
      </c>
      <c r="L684" s="20">
        <f t="shared" si="101"/>
        <v>5.6390977443609019E-2</v>
      </c>
      <c r="M684" s="12">
        <v>42</v>
      </c>
      <c r="N684" s="12">
        <v>3</v>
      </c>
      <c r="Q684" s="23"/>
    </row>
    <row r="685" spans="1:17">
      <c r="A685" s="25">
        <v>46106</v>
      </c>
      <c r="B685" s="29">
        <v>0.56388888888888888</v>
      </c>
      <c r="C685" s="19">
        <v>46111</v>
      </c>
      <c r="D685" s="24" t="str">
        <f t="shared" si="100"/>
        <v>NQB</v>
      </c>
      <c r="E685" s="13" t="str">
        <f>VLOOKUP(D:D,工作表2!A:B,2,0)</f>
        <v>邦善</v>
      </c>
      <c r="F685" s="13" t="str">
        <f>VLOOKUP(D:D,工作表2!A:C,3,0)</f>
        <v>黑</v>
      </c>
      <c r="G685" s="17">
        <v>10316422</v>
      </c>
      <c r="H685" s="17" t="s">
        <v>728</v>
      </c>
      <c r="I685" s="18" t="s">
        <v>735</v>
      </c>
      <c r="J685" s="15">
        <v>560</v>
      </c>
      <c r="K685" s="15">
        <v>54</v>
      </c>
      <c r="L685" s="20">
        <f t="shared" si="101"/>
        <v>9.6428571428571433E-2</v>
      </c>
      <c r="M685" s="12">
        <v>40</v>
      </c>
      <c r="N685" s="12">
        <v>14</v>
      </c>
      <c r="Q685" s="23" t="str">
        <f>VLOOKUP(H:H,'[1]雷雕處遮蔽&amp;艾仕得8844'!$A:$C,3,0)</f>
        <v>L</v>
      </c>
    </row>
    <row r="686" spans="1:17">
      <c r="A686" s="25">
        <v>46104</v>
      </c>
      <c r="B686" s="29">
        <v>0.61249999999999993</v>
      </c>
      <c r="C686" s="19">
        <v>46111</v>
      </c>
      <c r="D686" s="24" t="str">
        <f t="shared" si="100"/>
        <v>NGW</v>
      </c>
      <c r="E686" s="13" t="str">
        <f>VLOOKUP(D:D,工作表2!A:B,2,0)</f>
        <v>邦善</v>
      </c>
      <c r="F686" s="13" t="str">
        <f>VLOOKUP(D:D,工作表2!A:C,3,0)</f>
        <v>白</v>
      </c>
      <c r="G686" s="17">
        <v>10316442</v>
      </c>
      <c r="H686" s="17" t="s">
        <v>327</v>
      </c>
      <c r="I686" s="18" t="s">
        <v>328</v>
      </c>
      <c r="J686" s="15">
        <v>320</v>
      </c>
      <c r="K686" s="15">
        <v>29</v>
      </c>
      <c r="L686" s="20">
        <f t="shared" si="101"/>
        <v>9.0624999999999997E-2</v>
      </c>
      <c r="M686" s="12">
        <v>21</v>
      </c>
      <c r="N686" s="12">
        <v>8</v>
      </c>
      <c r="Q686" s="23" t="str">
        <f>VLOOKUP(H:H,'[1]雷雕處遮蔽&amp;艾仕得8844'!$A:$C,3,0)</f>
        <v>R</v>
      </c>
    </row>
    <row r="687" spans="1:17">
      <c r="A687" s="25">
        <v>46104</v>
      </c>
      <c r="B687" s="29">
        <v>0.58263888888888882</v>
      </c>
      <c r="C687" s="19">
        <v>46111</v>
      </c>
      <c r="D687" s="24" t="str">
        <f t="shared" si="100"/>
        <v>NGW</v>
      </c>
      <c r="E687" s="13" t="str">
        <f>VLOOKUP(D:D,工作表2!A:B,2,0)</f>
        <v>邦善</v>
      </c>
      <c r="F687" s="13" t="str">
        <f>VLOOKUP(D:D,工作表2!A:C,3,0)</f>
        <v>白</v>
      </c>
      <c r="G687" s="17">
        <v>10316428</v>
      </c>
      <c r="H687" s="17" t="s">
        <v>579</v>
      </c>
      <c r="I687" s="18" t="s">
        <v>581</v>
      </c>
      <c r="J687" s="15">
        <v>280</v>
      </c>
      <c r="K687" s="15">
        <v>18</v>
      </c>
      <c r="L687" s="20">
        <f t="shared" si="101"/>
        <v>6.4285714285714279E-2</v>
      </c>
      <c r="M687" s="12">
        <v>13</v>
      </c>
      <c r="N687" s="12">
        <v>5</v>
      </c>
      <c r="Q687" s="23"/>
    </row>
    <row r="688" spans="1:17">
      <c r="A688" s="25">
        <v>46104</v>
      </c>
      <c r="B688" s="29">
        <v>0.57361111111111118</v>
      </c>
      <c r="C688" s="19">
        <v>46111</v>
      </c>
      <c r="D688" s="24" t="str">
        <f t="shared" si="100"/>
        <v>NGW</v>
      </c>
      <c r="E688" s="13" t="str">
        <f>VLOOKUP(D:D,工作表2!A:B,2,0)</f>
        <v>邦善</v>
      </c>
      <c r="F688" s="13" t="str">
        <f>VLOOKUP(D:D,工作表2!A:C,3,0)</f>
        <v>白</v>
      </c>
      <c r="G688" s="17">
        <v>10316443</v>
      </c>
      <c r="H688" s="17" t="s">
        <v>386</v>
      </c>
      <c r="I688" s="18" t="s">
        <v>391</v>
      </c>
      <c r="J688" s="15">
        <v>440</v>
      </c>
      <c r="K688" s="15">
        <v>30</v>
      </c>
      <c r="L688" s="20">
        <f t="shared" si="101"/>
        <v>6.8181818181818177E-2</v>
      </c>
      <c r="M688" s="12">
        <v>20</v>
      </c>
      <c r="N688" s="12">
        <v>10</v>
      </c>
      <c r="Q688" s="23"/>
    </row>
    <row r="689" spans="1:20">
      <c r="A689" s="25">
        <v>46108</v>
      </c>
      <c r="B689" s="29">
        <v>0.42152777777777778</v>
      </c>
      <c r="C689" s="19">
        <v>46111</v>
      </c>
      <c r="D689" s="24" t="str">
        <f t="shared" si="100"/>
        <v>Q9B</v>
      </c>
      <c r="E689" s="13" t="str">
        <f>VLOOKUP(D:D,工作表2!A:B,2,0)</f>
        <v>邦善</v>
      </c>
      <c r="F689" s="13" t="str">
        <f>VLOOKUP(D:D,工作表2!A:C,3,0)</f>
        <v>黑</v>
      </c>
      <c r="G689" s="17">
        <v>10321526</v>
      </c>
      <c r="H689" s="17" t="s">
        <v>967</v>
      </c>
      <c r="I689" s="18" t="s">
        <v>972</v>
      </c>
      <c r="J689" s="15">
        <v>250</v>
      </c>
      <c r="K689" s="15">
        <v>75</v>
      </c>
      <c r="L689" s="20">
        <f t="shared" si="101"/>
        <v>0.3</v>
      </c>
      <c r="M689" s="12">
        <v>38</v>
      </c>
      <c r="N689" s="12">
        <v>37</v>
      </c>
      <c r="P689" s="32" t="s">
        <v>977</v>
      </c>
      <c r="Q689" s="23" t="str">
        <f>VLOOKUP(H:H,'[1]雷雕處遮蔽&amp;艾仕得8844'!$A:$C,3,0)</f>
        <v>R</v>
      </c>
    </row>
    <row r="690" spans="1:20">
      <c r="A690" s="25">
        <v>46107</v>
      </c>
      <c r="B690" s="29">
        <v>0.54375000000000007</v>
      </c>
      <c r="C690" s="19">
        <v>46111</v>
      </c>
      <c r="D690" s="24" t="str">
        <f t="shared" si="100"/>
        <v>Q9B</v>
      </c>
      <c r="E690" s="13" t="str">
        <f>VLOOKUP(D:D,工作表2!A:B,2,0)</f>
        <v>邦善</v>
      </c>
      <c r="F690" s="13" t="str">
        <f>VLOOKUP(D:D,工作表2!A:C,3,0)</f>
        <v>黑</v>
      </c>
      <c r="G690" s="17">
        <v>10316436</v>
      </c>
      <c r="H690" s="17" t="s">
        <v>792</v>
      </c>
      <c r="I690" s="18" t="s">
        <v>798</v>
      </c>
      <c r="J690" s="15">
        <v>560</v>
      </c>
      <c r="K690" s="15">
        <v>24</v>
      </c>
      <c r="L690" s="20">
        <f t="shared" si="101"/>
        <v>4.2857142857142858E-2</v>
      </c>
      <c r="M690" s="12">
        <v>15</v>
      </c>
      <c r="N690" s="12">
        <v>9</v>
      </c>
      <c r="Q690" s="23" t="str">
        <f>VLOOKUP(H:H,'[1]雷雕處遮蔽&amp;艾仕得8844'!$A:$C,3,0)</f>
        <v>L</v>
      </c>
    </row>
    <row r="691" spans="1:20">
      <c r="A691" s="25">
        <v>46106</v>
      </c>
      <c r="B691" s="29">
        <v>0.5541666666666667</v>
      </c>
      <c r="C691" s="19">
        <v>46111</v>
      </c>
      <c r="D691" s="24" t="str">
        <f t="shared" si="100"/>
        <v>Q9B</v>
      </c>
      <c r="E691" s="13" t="str">
        <f>VLOOKUP(D:D,工作表2!A:B,2,0)</f>
        <v>邦善</v>
      </c>
      <c r="F691" s="13" t="str">
        <f>VLOOKUP(D:D,工作表2!A:C,3,0)</f>
        <v>黑</v>
      </c>
      <c r="G691" s="17">
        <v>10316439</v>
      </c>
      <c r="H691" s="17" t="s">
        <v>816</v>
      </c>
      <c r="I691" s="18" t="s">
        <v>825</v>
      </c>
      <c r="J691" s="15">
        <v>440</v>
      </c>
      <c r="K691" s="15">
        <v>76</v>
      </c>
      <c r="L691" s="20">
        <f t="shared" si="101"/>
        <v>0.17272727272727273</v>
      </c>
      <c r="M691" s="12">
        <v>63</v>
      </c>
      <c r="N691" s="12">
        <v>13</v>
      </c>
      <c r="Q691" s="23" t="str">
        <f>VLOOKUP(H:H,'[1]雷雕處遮蔽&amp;艾仕得8844'!$A:$C,3,0)</f>
        <v>R</v>
      </c>
    </row>
    <row r="692" spans="1:20">
      <c r="A692" s="25">
        <v>46111</v>
      </c>
      <c r="B692" s="29">
        <v>0.3840277777777778</v>
      </c>
      <c r="C692" s="11">
        <v>46112</v>
      </c>
      <c r="D692" s="24" t="str">
        <f t="shared" ref="D692:D698" si="102">RIGHT(I692,3)</f>
        <v>QRB</v>
      </c>
      <c r="E692" s="13" t="str">
        <f>VLOOKUP(D:D,工作表2!A:B,2,0)</f>
        <v>邦善</v>
      </c>
      <c r="F692" s="13" t="str">
        <f>VLOOKUP(D:D,工作表2!A:C,3,0)</f>
        <v>霧面黑</v>
      </c>
      <c r="G692" s="17">
        <v>10321559</v>
      </c>
      <c r="H692" s="17" t="s">
        <v>170</v>
      </c>
      <c r="I692" s="18" t="s">
        <v>171</v>
      </c>
      <c r="J692" s="15">
        <v>18552</v>
      </c>
      <c r="K692" s="15">
        <v>552</v>
      </c>
      <c r="L692" s="20">
        <f t="shared" ref="L692:L698" si="103">K692/J692</f>
        <v>2.9754204398447608E-2</v>
      </c>
      <c r="M692" s="12">
        <v>405</v>
      </c>
      <c r="N692" s="12">
        <v>135</v>
      </c>
      <c r="O692" s="15">
        <v>12</v>
      </c>
      <c r="P692" s="32" t="s">
        <v>997</v>
      </c>
      <c r="Q692" s="23"/>
    </row>
    <row r="693" spans="1:20">
      <c r="A693" s="25">
        <v>46107</v>
      </c>
      <c r="B693" s="29">
        <v>0.55694444444444446</v>
      </c>
      <c r="C693" s="11">
        <v>46112</v>
      </c>
      <c r="D693" s="24" t="str">
        <f t="shared" si="102"/>
        <v>RRA</v>
      </c>
      <c r="E693" s="13" t="str">
        <f>VLOOKUP(D:D,工作表2!A:B,2,0)</f>
        <v>邦善</v>
      </c>
      <c r="F693" s="13" t="str">
        <f>VLOOKUP(D:D,工作表2!A:C,3,0)</f>
        <v>灰</v>
      </c>
      <c r="G693" s="17">
        <v>10316418</v>
      </c>
      <c r="H693" s="17" t="s">
        <v>995</v>
      </c>
      <c r="I693" s="18" t="s">
        <v>996</v>
      </c>
      <c r="J693" s="15">
        <v>320</v>
      </c>
      <c r="K693" s="15">
        <v>25</v>
      </c>
      <c r="L693" s="20">
        <f t="shared" si="103"/>
        <v>7.8125E-2</v>
      </c>
      <c r="M693" s="12">
        <v>20</v>
      </c>
      <c r="N693" s="12">
        <v>5</v>
      </c>
      <c r="Q693" s="23" t="str">
        <f>VLOOKUP(H:H,'[1]雷雕處遮蔽&amp;艾仕得8844'!$A:$C,3,0)</f>
        <v>R</v>
      </c>
    </row>
    <row r="694" spans="1:20">
      <c r="A694" s="25">
        <v>46106</v>
      </c>
      <c r="B694" s="29">
        <v>0.60416666666666663</v>
      </c>
      <c r="C694" s="19">
        <v>46112</v>
      </c>
      <c r="D694" s="24" t="str">
        <f t="shared" si="102"/>
        <v>NRR</v>
      </c>
      <c r="E694" s="13" t="str">
        <f>VLOOKUP(D:D,工作表2!A:B,2,0)</f>
        <v>邦善</v>
      </c>
      <c r="F694" s="13" t="str">
        <f>VLOOKUP(D:D,工作表2!A:C,3,0)</f>
        <v>紅</v>
      </c>
      <c r="G694" s="17">
        <v>10316431</v>
      </c>
      <c r="H694" s="17" t="s">
        <v>710</v>
      </c>
      <c r="I694" s="18" t="s">
        <v>721</v>
      </c>
      <c r="J694" s="15">
        <v>630</v>
      </c>
      <c r="K694" s="15">
        <v>57</v>
      </c>
      <c r="L694" s="20">
        <f t="shared" si="103"/>
        <v>9.0476190476190474E-2</v>
      </c>
      <c r="M694" s="12">
        <v>40</v>
      </c>
      <c r="N694" s="12">
        <v>17</v>
      </c>
      <c r="Q694" s="23"/>
    </row>
    <row r="695" spans="1:20">
      <c r="A695" s="25">
        <v>46105</v>
      </c>
      <c r="B695" s="29">
        <v>0.54097222222222219</v>
      </c>
      <c r="C695" s="19">
        <v>46112</v>
      </c>
      <c r="D695" s="24" t="str">
        <f t="shared" si="102"/>
        <v>RRA</v>
      </c>
      <c r="E695" s="13" t="str">
        <f>VLOOKUP(D:D,工作表2!A:B,2,0)</f>
        <v>邦善</v>
      </c>
      <c r="F695" s="13" t="str">
        <f>VLOOKUP(D:D,工作表2!A:C,3,0)</f>
        <v>灰</v>
      </c>
      <c r="G695" s="17">
        <v>10316432</v>
      </c>
      <c r="H695" s="17" t="s">
        <v>833</v>
      </c>
      <c r="I695" s="18" t="s">
        <v>834</v>
      </c>
      <c r="J695" s="15">
        <v>520</v>
      </c>
      <c r="K695" s="15">
        <v>41</v>
      </c>
      <c r="L695" s="20">
        <f t="shared" si="103"/>
        <v>7.8846153846153844E-2</v>
      </c>
      <c r="M695" s="12">
        <v>30</v>
      </c>
      <c r="N695" s="12">
        <v>11</v>
      </c>
      <c r="Q695" s="23" t="str">
        <f>VLOOKUP(H:H,'[1]雷雕處遮蔽&amp;艾仕得8844'!$A:$C,3,0)</f>
        <v>L</v>
      </c>
    </row>
    <row r="696" spans="1:20">
      <c r="A696" s="25">
        <v>46105</v>
      </c>
      <c r="B696" s="29">
        <v>0.55277777777777781</v>
      </c>
      <c r="C696" s="19">
        <v>46112</v>
      </c>
      <c r="D696" s="24" t="str">
        <f t="shared" si="102"/>
        <v>RRA</v>
      </c>
      <c r="E696" s="13" t="str">
        <f>VLOOKUP(D:D,工作表2!A:B,2,0)</f>
        <v>邦善</v>
      </c>
      <c r="F696" s="13" t="str">
        <f>VLOOKUP(D:D,工作表2!A:C,3,0)</f>
        <v>灰</v>
      </c>
      <c r="G696" s="17">
        <v>10316433</v>
      </c>
      <c r="H696" s="17" t="s">
        <v>750</v>
      </c>
      <c r="I696" s="18" t="s">
        <v>753</v>
      </c>
      <c r="J696" s="15">
        <v>760</v>
      </c>
      <c r="K696" s="15">
        <v>21</v>
      </c>
      <c r="L696" s="20">
        <f t="shared" si="103"/>
        <v>2.763157894736842E-2</v>
      </c>
      <c r="M696" s="12">
        <v>12</v>
      </c>
      <c r="N696" s="12">
        <v>8</v>
      </c>
      <c r="P696" s="32" t="s">
        <v>998</v>
      </c>
      <c r="Q696" s="23" t="str">
        <f>VLOOKUP(H:H,'[1]雷雕處遮蔽&amp;艾仕得8844'!$A:$C,3,0)</f>
        <v>R</v>
      </c>
      <c r="T696" s="17">
        <v>1</v>
      </c>
    </row>
    <row r="697" spans="1:20">
      <c r="A697" s="25">
        <v>46108</v>
      </c>
      <c r="B697" s="29">
        <v>0.38541666666666669</v>
      </c>
      <c r="C697" s="19">
        <v>46112</v>
      </c>
      <c r="D697" s="24" t="str">
        <f t="shared" si="102"/>
        <v>Q9B</v>
      </c>
      <c r="E697" s="13" t="str">
        <f>VLOOKUP(D:D,工作表2!A:B,2,0)</f>
        <v>邦善</v>
      </c>
      <c r="F697" s="13" t="str">
        <f>VLOOKUP(D:D,工作表2!A:C,3,0)</f>
        <v>黑</v>
      </c>
      <c r="G697" s="17">
        <v>10316435</v>
      </c>
      <c r="H697" s="17" t="s">
        <v>730</v>
      </c>
      <c r="I697" s="18" t="s">
        <v>737</v>
      </c>
      <c r="J697" s="15">
        <v>360</v>
      </c>
      <c r="K697" s="15">
        <v>51</v>
      </c>
      <c r="L697" s="20">
        <f t="shared" si="103"/>
        <v>0.14166666666666666</v>
      </c>
      <c r="M697" s="12">
        <v>31</v>
      </c>
      <c r="N697" s="12">
        <v>20</v>
      </c>
      <c r="Q697" s="23" t="str">
        <f>VLOOKUP(H:H,'[1]雷雕處遮蔽&amp;艾仕得8844'!$A:$C,3,0)</f>
        <v>R</v>
      </c>
    </row>
    <row r="698" spans="1:20">
      <c r="A698" s="25">
        <v>46106</v>
      </c>
      <c r="B698" s="29">
        <v>0.54166666666666663</v>
      </c>
      <c r="C698" s="19">
        <v>46112</v>
      </c>
      <c r="D698" s="24" t="str">
        <f t="shared" si="102"/>
        <v>Q9B</v>
      </c>
      <c r="E698" s="13" t="str">
        <f>VLOOKUP(D:D,工作表2!A:B,2,0)</f>
        <v>邦善</v>
      </c>
      <c r="F698" s="13" t="str">
        <f>VLOOKUP(D:D,工作表2!A:C,3,0)</f>
        <v>黑</v>
      </c>
      <c r="G698" s="17">
        <v>10316434</v>
      </c>
      <c r="H698" s="17" t="s">
        <v>631</v>
      </c>
      <c r="I698" s="18" t="s">
        <v>637</v>
      </c>
      <c r="J698" s="15">
        <v>384</v>
      </c>
      <c r="K698" s="15">
        <v>48</v>
      </c>
      <c r="L698" s="20">
        <f t="shared" si="103"/>
        <v>0.125</v>
      </c>
      <c r="M698" s="12">
        <v>40</v>
      </c>
      <c r="N698" s="12">
        <v>8</v>
      </c>
      <c r="Q698" s="23" t="str">
        <f>VLOOKUP(H:H,'[1]雷雕處遮蔽&amp;艾仕得8844'!$A:$C,3,0)</f>
        <v>L</v>
      </c>
    </row>
    <row r="699" spans="1:20">
      <c r="A699" s="25">
        <v>46107</v>
      </c>
      <c r="B699" s="29">
        <v>0.59236111111111112</v>
      </c>
      <c r="C699" s="11">
        <v>46113</v>
      </c>
      <c r="D699" s="24" t="str">
        <f t="shared" ref="D699:D712" si="104">RIGHT(I699,3)</f>
        <v>VGA</v>
      </c>
      <c r="E699" s="13" t="str">
        <f>VLOOKUP(D:D,工作表2!A:B,2,0)</f>
        <v>邦善</v>
      </c>
      <c r="F699" s="13" t="str">
        <f>VLOOKUP(D:D,工作表2!A:C,3,0)</f>
        <v>灰</v>
      </c>
      <c r="G699" s="17">
        <v>10320002</v>
      </c>
      <c r="H699" s="17" t="s">
        <v>1001</v>
      </c>
      <c r="I699" s="18" t="s">
        <v>1004</v>
      </c>
      <c r="J699" s="15">
        <v>240</v>
      </c>
      <c r="K699" s="15">
        <v>10</v>
      </c>
      <c r="L699" s="20">
        <f t="shared" ref="L699:L712" si="105">K699/J699</f>
        <v>4.1666666666666664E-2</v>
      </c>
      <c r="M699" s="12">
        <v>7</v>
      </c>
      <c r="N699" s="12">
        <v>3</v>
      </c>
      <c r="Q699" s="23"/>
    </row>
    <row r="700" spans="1:20">
      <c r="A700" s="25">
        <v>46111</v>
      </c>
      <c r="B700" s="29">
        <v>0.66319444444444442</v>
      </c>
      <c r="C700" s="11">
        <v>46113</v>
      </c>
      <c r="D700" s="24" t="str">
        <f t="shared" si="104"/>
        <v>42W</v>
      </c>
      <c r="E700" s="13" t="str">
        <f>VLOOKUP(D:D,工作表2!A:B,2,0)</f>
        <v>敦陽</v>
      </c>
      <c r="F700" s="13" t="str">
        <f>VLOOKUP(D:D,工作表2!A:C,3,0)</f>
        <v>白</v>
      </c>
      <c r="G700" s="17">
        <v>10322669</v>
      </c>
      <c r="H700" s="17" t="s">
        <v>756</v>
      </c>
      <c r="I700" s="18" t="s">
        <v>761</v>
      </c>
      <c r="J700" s="15">
        <v>1596</v>
      </c>
      <c r="K700" s="15">
        <v>101</v>
      </c>
      <c r="L700" s="20">
        <f t="shared" si="105"/>
        <v>6.3283208020050122E-2</v>
      </c>
      <c r="M700" s="12">
        <v>81</v>
      </c>
      <c r="N700" s="12">
        <v>20</v>
      </c>
      <c r="Q700" s="23"/>
    </row>
    <row r="701" spans="1:20">
      <c r="A701" s="25">
        <v>46111</v>
      </c>
      <c r="B701" s="29">
        <v>0.52430555555555558</v>
      </c>
      <c r="C701" s="19">
        <v>46113</v>
      </c>
      <c r="D701" s="24" t="str">
        <f t="shared" si="104"/>
        <v>Q9B</v>
      </c>
      <c r="E701" s="13" t="str">
        <f>VLOOKUP(D:D,工作表2!A:B,2,0)</f>
        <v>邦善</v>
      </c>
      <c r="F701" s="13" t="str">
        <f>VLOOKUP(D:D,工作表2!A:C,3,0)</f>
        <v>黑</v>
      </c>
      <c r="G701" s="17">
        <v>10316445</v>
      </c>
      <c r="H701" s="17" t="s">
        <v>376</v>
      </c>
      <c r="I701" s="18" t="s">
        <v>380</v>
      </c>
      <c r="J701" s="15">
        <v>1064</v>
      </c>
      <c r="K701" s="15">
        <v>116</v>
      </c>
      <c r="L701" s="20">
        <f t="shared" si="105"/>
        <v>0.10902255639097744</v>
      </c>
      <c r="M701" s="12">
        <v>80</v>
      </c>
      <c r="N701" s="12">
        <v>36</v>
      </c>
      <c r="Q701" s="23"/>
    </row>
    <row r="702" spans="1:20">
      <c r="A702" s="25">
        <v>46108</v>
      </c>
      <c r="B702" s="29">
        <v>0.59722222222222221</v>
      </c>
      <c r="C702" s="19">
        <v>46113</v>
      </c>
      <c r="D702" s="24" t="str">
        <f t="shared" si="104"/>
        <v>XMR</v>
      </c>
      <c r="E702" s="13" t="str">
        <f>VLOOKUP(D:D,工作表2!A:B,2,0)</f>
        <v>敦陽</v>
      </c>
      <c r="F702" s="13" t="str">
        <f>VLOOKUP(D:D,工作表2!A:C,3,0)</f>
        <v>紅</v>
      </c>
      <c r="G702" s="17">
        <v>10322670</v>
      </c>
      <c r="H702" s="17" t="s">
        <v>1000</v>
      </c>
      <c r="I702" s="18" t="s">
        <v>1003</v>
      </c>
      <c r="J702" s="15">
        <v>266</v>
      </c>
      <c r="K702" s="15">
        <v>20</v>
      </c>
      <c r="L702" s="20">
        <f t="shared" si="105"/>
        <v>7.5187969924812026E-2</v>
      </c>
      <c r="M702" s="12">
        <v>12</v>
      </c>
      <c r="N702" s="12">
        <v>8</v>
      </c>
      <c r="Q702" s="23"/>
    </row>
    <row r="703" spans="1:20">
      <c r="A703" s="25">
        <v>46112</v>
      </c>
      <c r="B703" s="29">
        <v>0.38472222222222219</v>
      </c>
      <c r="C703" s="19">
        <v>46113</v>
      </c>
      <c r="D703" s="24" t="str">
        <f t="shared" si="104"/>
        <v>QRB</v>
      </c>
      <c r="E703" s="13" t="str">
        <f>VLOOKUP(D:D,工作表2!A:B,2,0)</f>
        <v>邦善</v>
      </c>
      <c r="F703" s="13" t="str">
        <f>VLOOKUP(D:D,工作表2!A:C,3,0)</f>
        <v>霧面黑</v>
      </c>
      <c r="G703" s="17">
        <v>10322670</v>
      </c>
      <c r="H703" s="17" t="s">
        <v>170</v>
      </c>
      <c r="I703" s="18" t="s">
        <v>171</v>
      </c>
      <c r="J703" s="15">
        <v>24738</v>
      </c>
      <c r="K703" s="15">
        <v>858</v>
      </c>
      <c r="L703" s="20">
        <f t="shared" si="105"/>
        <v>3.4683482900800387E-2</v>
      </c>
      <c r="M703" s="12">
        <v>503</v>
      </c>
      <c r="N703" s="12">
        <v>335</v>
      </c>
      <c r="O703" s="15">
        <v>20</v>
      </c>
      <c r="Q703" s="23"/>
    </row>
    <row r="704" spans="1:20">
      <c r="A704" s="25">
        <v>46107</v>
      </c>
      <c r="B704" s="29">
        <v>0.57430555555555551</v>
      </c>
      <c r="C704" s="19">
        <v>46113</v>
      </c>
      <c r="D704" s="24" t="str">
        <f t="shared" si="104"/>
        <v>N8B</v>
      </c>
      <c r="E704" s="13" t="str">
        <f>VLOOKUP(D:D,工作表2!A:B,2,0)</f>
        <v>邦善</v>
      </c>
      <c r="F704" s="13" t="str">
        <f>VLOOKUP(D:D,工作表2!A:C,3,0)</f>
        <v>霧面黑</v>
      </c>
      <c r="G704" s="17">
        <v>10324455</v>
      </c>
      <c r="H704" s="17" t="s">
        <v>893</v>
      </c>
      <c r="I704" s="18" t="s">
        <v>900</v>
      </c>
      <c r="J704" s="15">
        <v>120</v>
      </c>
      <c r="K704" s="15">
        <v>17</v>
      </c>
      <c r="L704" s="20">
        <f t="shared" si="105"/>
        <v>0.14166666666666666</v>
      </c>
      <c r="M704" s="12">
        <v>12</v>
      </c>
      <c r="N704" s="12">
        <v>5</v>
      </c>
      <c r="Q704" s="23" t="str">
        <f>VLOOKUP(H:H,'[1]雷雕處遮蔽&amp;艾仕得8844'!$A:$C,3,0)</f>
        <v>L</v>
      </c>
    </row>
    <row r="705" spans="1:17">
      <c r="A705" s="25">
        <v>46107</v>
      </c>
      <c r="B705" s="29">
        <v>0.57013888888888886</v>
      </c>
      <c r="C705" s="19">
        <v>46113</v>
      </c>
      <c r="D705" s="24" t="str">
        <f t="shared" si="104"/>
        <v>N8B</v>
      </c>
      <c r="E705" s="13" t="str">
        <f>VLOOKUP(D:D,工作表2!A:B,2,0)</f>
        <v>邦善</v>
      </c>
      <c r="F705" s="13" t="str">
        <f>VLOOKUP(D:D,工作表2!A:C,3,0)</f>
        <v>霧面黑</v>
      </c>
      <c r="G705" s="17">
        <v>10324483</v>
      </c>
      <c r="H705" s="17" t="s">
        <v>894</v>
      </c>
      <c r="I705" s="18" t="s">
        <v>901</v>
      </c>
      <c r="J705" s="15">
        <v>200</v>
      </c>
      <c r="K705" s="15">
        <v>4</v>
      </c>
      <c r="L705" s="20">
        <f t="shared" si="105"/>
        <v>0.02</v>
      </c>
      <c r="M705" s="12">
        <v>4</v>
      </c>
      <c r="Q705" s="23" t="str">
        <f>VLOOKUP(H:H,'[1]雷雕處遮蔽&amp;艾仕得8844'!$A:$C,3,0)</f>
        <v>R</v>
      </c>
    </row>
    <row r="706" spans="1:17">
      <c r="A706" s="25">
        <v>46106</v>
      </c>
      <c r="B706" s="29">
        <v>0.57847222222222217</v>
      </c>
      <c r="C706" s="19">
        <v>46113</v>
      </c>
      <c r="D706" s="24" t="str">
        <f t="shared" si="104"/>
        <v>NEA</v>
      </c>
      <c r="E706" s="13" t="str">
        <f>VLOOKUP(D:D,工作表2!A:B,2,0)</f>
        <v>邦善</v>
      </c>
      <c r="F706" s="13" t="str">
        <f>VLOOKUP(D:D,工作表2!A:C,3,0)</f>
        <v>灰</v>
      </c>
      <c r="G706" s="17">
        <v>10316419</v>
      </c>
      <c r="H706" s="17" t="s">
        <v>563</v>
      </c>
      <c r="I706" s="18" t="s">
        <v>571</v>
      </c>
      <c r="J706" s="15">
        <v>520</v>
      </c>
      <c r="K706" s="15">
        <v>32</v>
      </c>
      <c r="L706" s="20">
        <f t="shared" si="105"/>
        <v>6.1538461538461542E-2</v>
      </c>
      <c r="M706" s="12">
        <v>27</v>
      </c>
      <c r="N706" s="12">
        <v>5</v>
      </c>
      <c r="Q706" s="23" t="str">
        <f>VLOOKUP(H:H,'[1]雷雕處遮蔽&amp;艾仕得8844'!$A:$C,3,0)</f>
        <v>R</v>
      </c>
    </row>
    <row r="707" spans="1:17">
      <c r="A707" s="25">
        <v>46106</v>
      </c>
      <c r="B707" s="29">
        <v>0.67013888888888884</v>
      </c>
      <c r="C707" s="19">
        <v>46113</v>
      </c>
      <c r="D707" s="24" t="str">
        <f t="shared" si="104"/>
        <v>SYL</v>
      </c>
      <c r="E707" s="13" t="str">
        <f>VLOOKUP(D:D,工作表2!A:B,2,0)</f>
        <v>邦善</v>
      </c>
      <c r="F707" s="13" t="str">
        <f>VLOOKUP(D:D,工作表2!A:C,3,0)</f>
        <v>藍</v>
      </c>
      <c r="G707" s="17">
        <v>10316430</v>
      </c>
      <c r="H707" s="17" t="s">
        <v>594</v>
      </c>
      <c r="I707" s="18" t="s">
        <v>602</v>
      </c>
      <c r="J707" s="15">
        <v>280</v>
      </c>
      <c r="K707" s="15">
        <v>10</v>
      </c>
      <c r="L707" s="20">
        <f t="shared" si="105"/>
        <v>3.5714285714285712E-2</v>
      </c>
      <c r="M707" s="12">
        <v>8</v>
      </c>
      <c r="N707" s="12">
        <v>2</v>
      </c>
      <c r="Q707" s="23"/>
    </row>
    <row r="708" spans="1:17">
      <c r="A708" s="25">
        <v>46107</v>
      </c>
      <c r="B708" s="29">
        <v>0.61388888888888882</v>
      </c>
      <c r="C708" s="19">
        <v>46113</v>
      </c>
      <c r="D708" s="24" t="str">
        <f t="shared" si="104"/>
        <v>SYL</v>
      </c>
      <c r="E708" s="13" t="str">
        <f>VLOOKUP(D:D,工作表2!A:B,2,0)</f>
        <v>邦善</v>
      </c>
      <c r="F708" s="13" t="str">
        <f>VLOOKUP(D:D,工作表2!A:C,3,0)</f>
        <v>藍</v>
      </c>
      <c r="G708" s="17">
        <v>10316426</v>
      </c>
      <c r="H708" s="17" t="s">
        <v>787</v>
      </c>
      <c r="I708" s="18" t="s">
        <v>793</v>
      </c>
      <c r="J708" s="15">
        <v>400</v>
      </c>
      <c r="K708" s="15">
        <v>23</v>
      </c>
      <c r="L708" s="20">
        <f t="shared" si="105"/>
        <v>5.7500000000000002E-2</v>
      </c>
      <c r="M708" s="12">
        <v>16</v>
      </c>
      <c r="N708" s="12">
        <v>7</v>
      </c>
      <c r="Q708" s="23" t="str">
        <f>VLOOKUP(H:H,'[1]雷雕處遮蔽&amp;艾仕得8844'!$A:$C,3,0)</f>
        <v>R</v>
      </c>
    </row>
    <row r="709" spans="1:17">
      <c r="A709" s="25">
        <v>46107</v>
      </c>
      <c r="B709" s="29">
        <v>0.57777777777777783</v>
      </c>
      <c r="C709" s="19">
        <v>46113</v>
      </c>
      <c r="D709" s="24" t="str">
        <f t="shared" si="104"/>
        <v>N8B</v>
      </c>
      <c r="E709" s="13" t="str">
        <f>VLOOKUP(D:D,工作表2!A:B,2,0)</f>
        <v>邦善</v>
      </c>
      <c r="F709" s="13" t="str">
        <f>VLOOKUP(D:D,工作表2!A:C,3,0)</f>
        <v>霧面黑</v>
      </c>
      <c r="G709" s="17">
        <v>10324456</v>
      </c>
      <c r="H709" s="17" t="s">
        <v>899</v>
      </c>
      <c r="I709" s="18" t="s">
        <v>906</v>
      </c>
      <c r="J709" s="15">
        <v>520</v>
      </c>
      <c r="K709" s="15">
        <v>18</v>
      </c>
      <c r="L709" s="20">
        <f t="shared" si="105"/>
        <v>3.4615384615384617E-2</v>
      </c>
      <c r="M709" s="12">
        <v>13</v>
      </c>
      <c r="N709" s="12">
        <v>5</v>
      </c>
      <c r="Q709" s="23" t="str">
        <f>VLOOKUP(H:H,'[1]雷雕處遮蔽&amp;艾仕得8844'!$A:$C,3,0)</f>
        <v>L</v>
      </c>
    </row>
    <row r="710" spans="1:17">
      <c r="A710" s="25">
        <v>46112</v>
      </c>
      <c r="B710" s="29">
        <v>0.54583333333333328</v>
      </c>
      <c r="C710" s="19">
        <v>46113</v>
      </c>
      <c r="D710" s="24" t="str">
        <f t="shared" si="104"/>
        <v>N8B</v>
      </c>
      <c r="E710" s="13" t="str">
        <f>VLOOKUP(D:D,工作表2!A:B,2,0)</f>
        <v>邦善</v>
      </c>
      <c r="F710" s="13" t="str">
        <f>VLOOKUP(D:D,工作表2!A:C,3,0)</f>
        <v>霧面黑</v>
      </c>
      <c r="G710" s="17">
        <v>10324457</v>
      </c>
      <c r="H710" s="17" t="s">
        <v>999</v>
      </c>
      <c r="I710" s="18" t="s">
        <v>1002</v>
      </c>
      <c r="J710" s="15">
        <v>600</v>
      </c>
      <c r="K710" s="15">
        <v>54</v>
      </c>
      <c r="L710" s="20">
        <f t="shared" si="105"/>
        <v>0.09</v>
      </c>
      <c r="M710" s="12">
        <v>42</v>
      </c>
      <c r="N710" s="12">
        <v>12</v>
      </c>
      <c r="Q710" s="23" t="str">
        <f>VLOOKUP(H:H,'[1]雷雕處遮蔽&amp;艾仕得8844'!$A:$C,3,0)</f>
        <v>R</v>
      </c>
    </row>
    <row r="711" spans="1:17">
      <c r="A711" s="25">
        <v>46112</v>
      </c>
      <c r="B711" s="29">
        <v>0.56180555555555556</v>
      </c>
      <c r="C711" s="19">
        <v>46113</v>
      </c>
      <c r="D711" s="24" t="str">
        <f t="shared" si="104"/>
        <v>N8B</v>
      </c>
      <c r="E711" s="13" t="str">
        <f>VLOOKUP(D:D,工作表2!A:B,2,0)</f>
        <v>邦善</v>
      </c>
      <c r="F711" s="13" t="str">
        <f>VLOOKUP(D:D,工作表2!A:C,3,0)</f>
        <v>霧面黑</v>
      </c>
      <c r="G711" s="17">
        <v>10316440</v>
      </c>
      <c r="H711" s="17" t="s">
        <v>607</v>
      </c>
      <c r="I711" s="18" t="s">
        <v>609</v>
      </c>
      <c r="J711" s="15">
        <v>804</v>
      </c>
      <c r="K711" s="15">
        <v>40</v>
      </c>
      <c r="L711" s="20">
        <f t="shared" si="105"/>
        <v>4.975124378109453E-2</v>
      </c>
      <c r="M711" s="12">
        <v>30</v>
      </c>
      <c r="N711" s="12">
        <v>10</v>
      </c>
      <c r="Q711" s="23" t="str">
        <f>VLOOKUP(H:H,'[1]雷雕處遮蔽&amp;艾仕得8844'!$A:$C,3,0)</f>
        <v>0度頭蓋</v>
      </c>
    </row>
    <row r="712" spans="1:17">
      <c r="A712" s="25">
        <v>46107</v>
      </c>
      <c r="B712" s="29">
        <v>0.59513888888888888</v>
      </c>
      <c r="C712" s="19">
        <v>46113</v>
      </c>
      <c r="D712" s="24" t="str">
        <f t="shared" si="104"/>
        <v>N8B</v>
      </c>
      <c r="E712" s="13" t="str">
        <f>VLOOKUP(D:D,工作表2!A:B,2,0)</f>
        <v>邦善</v>
      </c>
      <c r="F712" s="13" t="str">
        <f>VLOOKUP(D:D,工作表2!A:C,3,0)</f>
        <v>霧面黑</v>
      </c>
      <c r="G712" s="17">
        <v>10315756</v>
      </c>
      <c r="H712" s="17" t="s">
        <v>613</v>
      </c>
      <c r="I712" s="18" t="s">
        <v>620</v>
      </c>
      <c r="J712" s="15">
        <v>1340</v>
      </c>
      <c r="K712" s="15">
        <v>46</v>
      </c>
      <c r="L712" s="20">
        <f t="shared" si="105"/>
        <v>3.4328358208955224E-2</v>
      </c>
      <c r="M712" s="12">
        <v>27</v>
      </c>
      <c r="N712" s="12">
        <v>19</v>
      </c>
      <c r="Q712" s="23" t="str">
        <f>VLOOKUP(H:H,'[1]雷雕處遮蔽&amp;艾仕得8844'!$A:$C,3,0)</f>
        <v>0度頭蓋</v>
      </c>
    </row>
    <row r="713" spans="1:17">
      <c r="A713" s="25">
        <v>46108</v>
      </c>
      <c r="B713" s="29">
        <v>0.59236111111111112</v>
      </c>
      <c r="C713" s="11">
        <v>46114</v>
      </c>
      <c r="D713" s="24" t="str">
        <f t="shared" ref="D713:D724" si="106">RIGHT(I713,3)</f>
        <v>RCA</v>
      </c>
      <c r="E713" s="13" t="str">
        <f>VLOOKUP(D:D,工作表2!A:B,2,0)</f>
        <v>邦善</v>
      </c>
      <c r="F713" s="13" t="str">
        <f>VLOOKUP(D:D,工作表2!A:C,3,0)</f>
        <v>灰</v>
      </c>
      <c r="G713" s="17">
        <v>10316447</v>
      </c>
      <c r="H713" s="17" t="s">
        <v>402</v>
      </c>
      <c r="I713" s="18" t="s">
        <v>404</v>
      </c>
      <c r="J713" s="15">
        <v>1330</v>
      </c>
      <c r="K713" s="15">
        <v>87</v>
      </c>
      <c r="L713" s="20">
        <f t="shared" ref="L713:L724" si="107">K713/J713</f>
        <v>6.5413533834586465E-2</v>
      </c>
      <c r="M713" s="12">
        <v>60</v>
      </c>
      <c r="N713" s="12">
        <v>27</v>
      </c>
      <c r="Q713" s="23"/>
    </row>
    <row r="714" spans="1:17">
      <c r="A714" s="25">
        <v>46108</v>
      </c>
      <c r="B714" s="29">
        <v>0.58472222222222225</v>
      </c>
      <c r="C714" s="11">
        <v>46114</v>
      </c>
      <c r="D714" s="24" t="str">
        <f t="shared" si="106"/>
        <v>RRA</v>
      </c>
      <c r="E714" s="13" t="str">
        <f>VLOOKUP(D:D,工作表2!A:B,2,0)</f>
        <v>邦善</v>
      </c>
      <c r="F714" s="13" t="str">
        <f>VLOOKUP(D:D,工作表2!A:C,3,0)</f>
        <v>灰</v>
      </c>
      <c r="G714" s="17">
        <v>10316446</v>
      </c>
      <c r="H714" s="17" t="s">
        <v>544</v>
      </c>
      <c r="I714" s="18" t="s">
        <v>555</v>
      </c>
      <c r="J714" s="15">
        <v>1862</v>
      </c>
      <c r="K714" s="15">
        <v>115</v>
      </c>
      <c r="L714" s="20">
        <f t="shared" si="107"/>
        <v>6.1761546723952739E-2</v>
      </c>
      <c r="M714" s="12">
        <v>100</v>
      </c>
      <c r="N714" s="12">
        <v>15</v>
      </c>
      <c r="Q714" s="23"/>
    </row>
    <row r="715" spans="1:17">
      <c r="A715" s="25">
        <v>46111</v>
      </c>
      <c r="B715" s="29">
        <v>0.3840277777777778</v>
      </c>
      <c r="C715" s="19">
        <v>46114</v>
      </c>
      <c r="D715" s="24" t="str">
        <f t="shared" si="106"/>
        <v>QRB</v>
      </c>
      <c r="E715" s="13" t="str">
        <f>VLOOKUP(D:D,工作表2!A:B,2,0)</f>
        <v>邦善</v>
      </c>
      <c r="F715" s="13" t="str">
        <f>VLOOKUP(D:D,工作表2!A:C,3,0)</f>
        <v>霧面黑</v>
      </c>
      <c r="G715" s="17">
        <v>10321559</v>
      </c>
      <c r="H715" s="17" t="s">
        <v>170</v>
      </c>
      <c r="I715" s="18" t="s">
        <v>171</v>
      </c>
      <c r="J715" s="15">
        <v>10176</v>
      </c>
      <c r="K715" s="15">
        <v>852</v>
      </c>
      <c r="L715" s="20">
        <f t="shared" si="107"/>
        <v>8.3726415094339618E-2</v>
      </c>
      <c r="M715" s="12">
        <v>525</v>
      </c>
      <c r="N715" s="12">
        <v>304</v>
      </c>
      <c r="O715" s="15">
        <v>23</v>
      </c>
      <c r="P715" s="32" t="s">
        <v>1009</v>
      </c>
      <c r="Q715" s="23"/>
    </row>
    <row r="716" spans="1:17">
      <c r="A716" s="25">
        <v>46112</v>
      </c>
      <c r="B716" s="29">
        <v>0.38472222222222219</v>
      </c>
      <c r="C716" s="19">
        <v>46114</v>
      </c>
      <c r="D716" s="24" t="str">
        <f t="shared" si="106"/>
        <v>QRB</v>
      </c>
      <c r="E716" s="13" t="str">
        <f>VLOOKUP(D:D,工作表2!A:B,2,0)</f>
        <v>邦善</v>
      </c>
      <c r="F716" s="13" t="str">
        <f>VLOOKUP(D:D,工作表2!A:C,3,0)</f>
        <v>霧面黑</v>
      </c>
      <c r="G716" s="17">
        <v>10321560</v>
      </c>
      <c r="H716" s="17" t="s">
        <v>170</v>
      </c>
      <c r="I716" s="18" t="s">
        <v>171</v>
      </c>
      <c r="J716" s="15">
        <v>1862</v>
      </c>
      <c r="K716" s="15">
        <v>209</v>
      </c>
      <c r="L716" s="20">
        <f t="shared" si="107"/>
        <v>0.11224489795918367</v>
      </c>
      <c r="M716" s="12">
        <v>188</v>
      </c>
      <c r="N716" s="12">
        <v>18</v>
      </c>
      <c r="O716" s="15">
        <v>3</v>
      </c>
      <c r="Q716" s="23"/>
    </row>
    <row r="717" spans="1:17">
      <c r="A717" s="25">
        <v>46113</v>
      </c>
      <c r="B717" s="29">
        <v>0.40347222222222223</v>
      </c>
      <c r="C717" s="19">
        <v>46114</v>
      </c>
      <c r="D717" s="24" t="str">
        <f t="shared" si="106"/>
        <v>QSB</v>
      </c>
      <c r="E717" s="13" t="str">
        <f>VLOOKUP(D:D,工作表2!A:B,2,0)</f>
        <v>邦善</v>
      </c>
      <c r="F717" s="13" t="str">
        <f>VLOOKUP(D:D,工作表2!A:C,3,0)</f>
        <v>黑</v>
      </c>
      <c r="G717" s="17">
        <v>10321537</v>
      </c>
      <c r="H717" s="17" t="s">
        <v>583</v>
      </c>
      <c r="I717" s="18" t="s">
        <v>587</v>
      </c>
      <c r="J717" s="15">
        <v>20216</v>
      </c>
      <c r="K717" s="15">
        <v>887</v>
      </c>
      <c r="L717" s="20">
        <f t="shared" si="107"/>
        <v>4.3876137712702809E-2</v>
      </c>
      <c r="M717" s="12">
        <v>630</v>
      </c>
      <c r="N717" s="12">
        <v>257</v>
      </c>
      <c r="Q717" s="23"/>
    </row>
    <row r="718" spans="1:17">
      <c r="A718" s="25">
        <v>46113</v>
      </c>
      <c r="B718" s="29">
        <v>0.37847222222222227</v>
      </c>
      <c r="C718" s="19">
        <v>46114</v>
      </c>
      <c r="D718" s="24" t="str">
        <f t="shared" si="106"/>
        <v>QUW</v>
      </c>
      <c r="E718" s="13" t="str">
        <f>VLOOKUP(D:D,工作表2!A:B,2,0)</f>
        <v>邦善</v>
      </c>
      <c r="F718" s="13" t="str">
        <f>VLOOKUP(D:D,工作表2!A:C,3,0)</f>
        <v>白</v>
      </c>
      <c r="G718" s="17">
        <v>10321562</v>
      </c>
      <c r="H718" s="17" t="s">
        <v>634</v>
      </c>
      <c r="I718" s="18" t="s">
        <v>640</v>
      </c>
      <c r="J718" s="15">
        <v>5320</v>
      </c>
      <c r="K718" s="15">
        <v>323</v>
      </c>
      <c r="L718" s="20">
        <f t="shared" si="107"/>
        <v>6.0714285714285714E-2</v>
      </c>
      <c r="M718" s="12">
        <v>270</v>
      </c>
      <c r="N718" s="12">
        <v>53</v>
      </c>
      <c r="Q718" s="23"/>
    </row>
    <row r="719" spans="1:17">
      <c r="A719" s="25">
        <v>46112</v>
      </c>
      <c r="B719" s="29">
        <v>0.59930555555555554</v>
      </c>
      <c r="C719" s="19">
        <v>46114</v>
      </c>
      <c r="D719" s="24" t="str">
        <f t="shared" si="106"/>
        <v>VPL</v>
      </c>
      <c r="E719" s="13" t="str">
        <f>VLOOKUP(D:D,工作表2!A:B,2,0)</f>
        <v>邦善</v>
      </c>
      <c r="F719" s="13" t="str">
        <f>VLOOKUP(D:D,工作表2!A:C,3,0)</f>
        <v>藍</v>
      </c>
      <c r="G719" s="17">
        <v>10316444</v>
      </c>
      <c r="H719" s="17" t="s">
        <v>325</v>
      </c>
      <c r="I719" s="18" t="s">
        <v>326</v>
      </c>
      <c r="J719" s="15">
        <v>798</v>
      </c>
      <c r="K719" s="15">
        <v>57</v>
      </c>
      <c r="L719" s="20">
        <f t="shared" si="107"/>
        <v>7.1428571428571425E-2</v>
      </c>
      <c r="M719" s="12">
        <v>47</v>
      </c>
      <c r="N719" s="12">
        <v>10</v>
      </c>
      <c r="Q719" s="23"/>
    </row>
    <row r="720" spans="1:17">
      <c r="A720" s="25">
        <v>46111</v>
      </c>
      <c r="B720" s="29">
        <v>0.56041666666666667</v>
      </c>
      <c r="C720" s="19">
        <v>46114</v>
      </c>
      <c r="D720" s="24" t="str">
        <f t="shared" si="106"/>
        <v>NGW</v>
      </c>
      <c r="E720" s="13" t="str">
        <f>VLOOKUP(D:D,工作表2!A:B,2,0)</f>
        <v>邦善</v>
      </c>
      <c r="F720" s="13" t="str">
        <f>VLOOKUP(D:D,工作表2!A:C,3,0)</f>
        <v>白</v>
      </c>
      <c r="G720" s="17">
        <v>10316472</v>
      </c>
      <c r="H720" s="17" t="s">
        <v>715</v>
      </c>
      <c r="I720" s="18" t="s">
        <v>720</v>
      </c>
      <c r="J720" s="15">
        <v>480</v>
      </c>
      <c r="K720" s="15">
        <v>19</v>
      </c>
      <c r="L720" s="20">
        <f t="shared" si="107"/>
        <v>3.9583333333333331E-2</v>
      </c>
      <c r="M720" s="12">
        <v>14</v>
      </c>
      <c r="N720" s="12">
        <v>5</v>
      </c>
      <c r="Q720" s="23" t="str">
        <f>VLOOKUP(H:H,'[1]雷雕處遮蔽&amp;艾仕得8844'!$A:$C,3,0)</f>
        <v>R</v>
      </c>
    </row>
    <row r="721" spans="1:21">
      <c r="A721" s="25">
        <v>46111</v>
      </c>
      <c r="B721" s="29">
        <v>0.57361111111111118</v>
      </c>
      <c r="C721" s="19">
        <v>46114</v>
      </c>
      <c r="D721" s="24" t="str">
        <f t="shared" si="106"/>
        <v>NGW</v>
      </c>
      <c r="E721" s="13" t="str">
        <f>VLOOKUP(D:D,工作表2!A:B,2,0)</f>
        <v>邦善</v>
      </c>
      <c r="F721" s="13" t="str">
        <f>VLOOKUP(D:D,工作表2!A:C,3,0)</f>
        <v>白</v>
      </c>
      <c r="G721" s="17">
        <v>10316457</v>
      </c>
      <c r="H721" s="17" t="s">
        <v>372</v>
      </c>
      <c r="I721" s="18" t="s">
        <v>373</v>
      </c>
      <c r="J721" s="15">
        <v>920</v>
      </c>
      <c r="K721" s="15">
        <v>89</v>
      </c>
      <c r="L721" s="20">
        <f t="shared" si="107"/>
        <v>9.6739130434782605E-2</v>
      </c>
      <c r="M721" s="12">
        <v>66</v>
      </c>
      <c r="N721" s="12">
        <v>23</v>
      </c>
      <c r="Q721" s="23"/>
    </row>
    <row r="722" spans="1:21">
      <c r="A722" s="25">
        <v>46111</v>
      </c>
      <c r="B722" s="29">
        <v>0.59861111111111109</v>
      </c>
      <c r="C722" s="19">
        <v>46114</v>
      </c>
      <c r="D722" s="24" t="str">
        <f t="shared" si="106"/>
        <v>NGW</v>
      </c>
      <c r="E722" s="13" t="str">
        <f>VLOOKUP(D:D,工作表2!A:B,2,0)</f>
        <v>邦善</v>
      </c>
      <c r="F722" s="13" t="str">
        <f>VLOOKUP(D:D,工作表2!A:C,3,0)</f>
        <v>白</v>
      </c>
      <c r="G722" s="17">
        <v>10316456</v>
      </c>
      <c r="H722" s="17" t="s">
        <v>377</v>
      </c>
      <c r="I722" s="18" t="s">
        <v>381</v>
      </c>
      <c r="J722" s="15">
        <v>280</v>
      </c>
      <c r="K722" s="15">
        <v>19</v>
      </c>
      <c r="L722" s="20">
        <f t="shared" si="107"/>
        <v>6.7857142857142852E-2</v>
      </c>
      <c r="M722" s="12">
        <v>12</v>
      </c>
      <c r="N722" s="12">
        <v>7</v>
      </c>
      <c r="Q722" s="23"/>
    </row>
    <row r="723" spans="1:21">
      <c r="A723" s="25">
        <v>46112</v>
      </c>
      <c r="B723" s="29">
        <v>0.6020833333333333</v>
      </c>
      <c r="C723" s="19">
        <v>46114</v>
      </c>
      <c r="D723" s="24" t="str">
        <f t="shared" si="106"/>
        <v>BBB</v>
      </c>
      <c r="E723" s="13" t="str">
        <f>VLOOKUP(D:D,工作表2!A:B,2,0)</f>
        <v>邦善</v>
      </c>
      <c r="F723" s="13" t="str">
        <f>VLOOKUP(D:D,工作表2!A:C,3,0)</f>
        <v>霧面黑</v>
      </c>
      <c r="G723" s="17">
        <v>10320717</v>
      </c>
      <c r="H723" s="17" t="s">
        <v>1006</v>
      </c>
      <c r="I723" s="18" t="s">
        <v>1008</v>
      </c>
      <c r="J723" s="15">
        <v>60</v>
      </c>
      <c r="K723" s="15">
        <v>6</v>
      </c>
      <c r="L723" s="20">
        <f t="shared" si="107"/>
        <v>0.1</v>
      </c>
      <c r="M723" s="12">
        <v>5</v>
      </c>
      <c r="N723" s="12">
        <v>1</v>
      </c>
      <c r="Q723" s="23"/>
    </row>
    <row r="724" spans="1:21">
      <c r="A724" s="25">
        <v>46112</v>
      </c>
      <c r="B724" s="29">
        <v>0.60277777777777775</v>
      </c>
      <c r="C724" s="19">
        <v>46114</v>
      </c>
      <c r="D724" s="24" t="str">
        <f t="shared" si="106"/>
        <v>DAA</v>
      </c>
      <c r="E724" s="13" t="str">
        <f>VLOOKUP(D:D,工作表2!A:B,2,0)</f>
        <v>建榮</v>
      </c>
      <c r="F724" s="13" t="str">
        <f>VLOOKUP(D:D,工作表2!A:C,3,0)</f>
        <v>灰</v>
      </c>
      <c r="G724" s="17">
        <v>10320716</v>
      </c>
      <c r="H724" s="17" t="s">
        <v>1005</v>
      </c>
      <c r="I724" s="18" t="s">
        <v>1007</v>
      </c>
      <c r="J724" s="15">
        <v>30</v>
      </c>
      <c r="K724" s="15">
        <v>3</v>
      </c>
      <c r="L724" s="20">
        <f t="shared" si="107"/>
        <v>0.1</v>
      </c>
      <c r="M724" s="12">
        <v>3</v>
      </c>
      <c r="Q724" s="23"/>
    </row>
    <row r="725" spans="1:21">
      <c r="A725" s="25">
        <v>46112</v>
      </c>
      <c r="B725" s="29">
        <v>0.4777777777777778</v>
      </c>
      <c r="C725" s="11">
        <v>46119</v>
      </c>
      <c r="D725" s="24" t="str">
        <f t="shared" ref="D725:D736" si="108">RIGHT(I725,3)</f>
        <v>PLB</v>
      </c>
      <c r="E725" s="13" t="str">
        <f>VLOOKUP(D:D,工作表2!A:B,2,0)</f>
        <v>邦善</v>
      </c>
      <c r="F725" s="13" t="str">
        <f>VLOOKUP(D:D,工作表2!A:C,3,0)</f>
        <v>霧面黑</v>
      </c>
      <c r="G725" s="17">
        <v>10322674</v>
      </c>
      <c r="H725" s="17" t="s">
        <v>408</v>
      </c>
      <c r="I725" s="18" t="s">
        <v>411</v>
      </c>
      <c r="J725" s="15">
        <v>1862</v>
      </c>
      <c r="K725" s="15">
        <v>136</v>
      </c>
      <c r="L725" s="20">
        <f t="shared" ref="L725:L736" si="109">K725/J725</f>
        <v>7.3039742212674549E-2</v>
      </c>
      <c r="M725" s="12">
        <v>120</v>
      </c>
      <c r="N725" s="12">
        <v>16</v>
      </c>
      <c r="Q725" s="23"/>
    </row>
    <row r="726" spans="1:21">
      <c r="A726" s="25">
        <v>46114</v>
      </c>
      <c r="B726" s="29">
        <v>0.37986111111111115</v>
      </c>
      <c r="C726" s="11">
        <v>46119</v>
      </c>
      <c r="D726" s="24" t="str">
        <f t="shared" si="108"/>
        <v>QRB</v>
      </c>
      <c r="E726" s="13" t="str">
        <f>VLOOKUP(D:D,工作表2!A:B,2,0)</f>
        <v>邦善</v>
      </c>
      <c r="F726" s="13" t="str">
        <f>VLOOKUP(D:D,工作表2!A:C,3,0)</f>
        <v>霧面黑</v>
      </c>
      <c r="G726" s="17">
        <v>10321577</v>
      </c>
      <c r="H726" s="17" t="s">
        <v>170</v>
      </c>
      <c r="I726" s="18" t="s">
        <v>171</v>
      </c>
      <c r="J726" s="15">
        <v>24120</v>
      </c>
      <c r="K726" s="15">
        <v>840</v>
      </c>
      <c r="L726" s="20">
        <f t="shared" si="109"/>
        <v>3.482587064676617E-2</v>
      </c>
      <c r="M726" s="12">
        <v>464</v>
      </c>
      <c r="N726" s="12">
        <v>353</v>
      </c>
      <c r="O726" s="15">
        <v>23</v>
      </c>
      <c r="P726" s="32" t="s">
        <v>1012</v>
      </c>
      <c r="Q726" s="23"/>
    </row>
    <row r="727" spans="1:21">
      <c r="A727" s="25">
        <v>46112</v>
      </c>
      <c r="B727" s="29">
        <v>0.52638888888888891</v>
      </c>
      <c r="C727" s="19">
        <v>46119</v>
      </c>
      <c r="D727" s="24" t="str">
        <f t="shared" si="108"/>
        <v>NBB</v>
      </c>
      <c r="E727" s="13" t="str">
        <f>VLOOKUP(D:D,工作表2!A:B,2,0)</f>
        <v>邦善</v>
      </c>
      <c r="F727" s="13" t="str">
        <f>VLOOKUP(D:D,工作表2!A:C,3,0)</f>
        <v>霧面黑</v>
      </c>
      <c r="G727" s="17">
        <v>10315751</v>
      </c>
      <c r="H727" s="17" t="s">
        <v>306</v>
      </c>
      <c r="I727" s="18" t="s">
        <v>307</v>
      </c>
      <c r="J727" s="15">
        <v>4522</v>
      </c>
      <c r="K727" s="15">
        <v>56</v>
      </c>
      <c r="L727" s="20">
        <f t="shared" si="109"/>
        <v>1.238390092879257E-2</v>
      </c>
      <c r="M727" s="12">
        <v>50</v>
      </c>
      <c r="N727" s="12">
        <v>6</v>
      </c>
      <c r="Q727" s="23"/>
    </row>
    <row r="728" spans="1:21">
      <c r="A728" s="25">
        <v>46111</v>
      </c>
      <c r="B728" s="29">
        <v>0.66041666666666665</v>
      </c>
      <c r="C728" s="19">
        <v>46119</v>
      </c>
      <c r="D728" s="24" t="str">
        <f t="shared" si="108"/>
        <v>QDW</v>
      </c>
      <c r="E728" s="13" t="str">
        <f>VLOOKUP(D:D,工作表2!A:B,2,0)</f>
        <v>邦善</v>
      </c>
      <c r="F728" s="13" t="str">
        <f>VLOOKUP(D:D,工作表2!A:C,3,0)</f>
        <v>白</v>
      </c>
      <c r="G728" s="17">
        <v>10320681</v>
      </c>
      <c r="H728" s="17" t="s">
        <v>439</v>
      </c>
      <c r="I728" s="18" t="s">
        <v>440</v>
      </c>
      <c r="J728" s="15">
        <v>144</v>
      </c>
      <c r="K728" s="15">
        <v>8</v>
      </c>
      <c r="L728" s="20">
        <f t="shared" si="109"/>
        <v>5.5555555555555552E-2</v>
      </c>
      <c r="M728" s="12">
        <v>6</v>
      </c>
      <c r="N728" s="12">
        <v>2</v>
      </c>
      <c r="Q728" s="23"/>
    </row>
    <row r="729" spans="1:21">
      <c r="A729" s="25">
        <v>46112</v>
      </c>
      <c r="B729" s="29">
        <v>0.56597222222222221</v>
      </c>
      <c r="C729" s="19">
        <v>46119</v>
      </c>
      <c r="D729" s="24" t="str">
        <f t="shared" si="108"/>
        <v>NQB</v>
      </c>
      <c r="E729" s="13" t="str">
        <f>VLOOKUP(D:D,工作表2!A:B,2,0)</f>
        <v>邦善</v>
      </c>
      <c r="F729" s="13" t="str">
        <f>VLOOKUP(D:D,工作表2!A:C,3,0)</f>
        <v>黑</v>
      </c>
      <c r="G729" s="17">
        <v>10316452</v>
      </c>
      <c r="H729" s="17" t="s">
        <v>777</v>
      </c>
      <c r="I729" s="18" t="s">
        <v>782</v>
      </c>
      <c r="J729" s="15">
        <v>480</v>
      </c>
      <c r="K729" s="15">
        <v>82</v>
      </c>
      <c r="L729" s="20">
        <f t="shared" si="109"/>
        <v>0.17083333333333334</v>
      </c>
      <c r="M729" s="12">
        <v>67</v>
      </c>
      <c r="N729" s="12">
        <v>15</v>
      </c>
      <c r="Q729" s="23" t="str">
        <f>VLOOKUP(H:H,'[1]雷雕處遮蔽&amp;艾仕得8844'!$A:$C,3,0)</f>
        <v>L</v>
      </c>
    </row>
    <row r="730" spans="1:21">
      <c r="A730" s="25">
        <v>46112</v>
      </c>
      <c r="B730" s="29">
        <v>0.58611111111111114</v>
      </c>
      <c r="C730" s="19">
        <v>46119</v>
      </c>
      <c r="D730" s="24" t="str">
        <f t="shared" si="108"/>
        <v>NQB</v>
      </c>
      <c r="E730" s="13" t="str">
        <f>VLOOKUP(D:D,工作表2!A:B,2,0)</f>
        <v>邦善</v>
      </c>
      <c r="F730" s="13" t="str">
        <f>VLOOKUP(D:D,工作表2!A:C,3,0)</f>
        <v>黑</v>
      </c>
      <c r="G730" s="17">
        <v>10316451</v>
      </c>
      <c r="H730" s="17" t="s">
        <v>731</v>
      </c>
      <c r="I730" s="18" t="s">
        <v>738</v>
      </c>
      <c r="J730" s="15">
        <v>440</v>
      </c>
      <c r="K730" s="15">
        <v>43</v>
      </c>
      <c r="L730" s="20">
        <f t="shared" si="109"/>
        <v>9.7727272727272732E-2</v>
      </c>
      <c r="M730" s="12">
        <v>34</v>
      </c>
      <c r="N730" s="12">
        <v>9</v>
      </c>
      <c r="Q730" s="23" t="str">
        <f>VLOOKUP(H:H,'[1]雷雕處遮蔽&amp;艾仕得8844'!$A:$C,3,0)</f>
        <v>R</v>
      </c>
    </row>
    <row r="731" spans="1:21">
      <c r="A731" s="25">
        <v>46111</v>
      </c>
      <c r="B731" s="29">
        <v>0.55347222222222225</v>
      </c>
      <c r="C731" s="19">
        <v>46119</v>
      </c>
      <c r="D731" s="24" t="str">
        <f t="shared" si="108"/>
        <v>SYL</v>
      </c>
      <c r="E731" s="13" t="str">
        <f>VLOOKUP(D:D,工作表2!A:B,2,0)</f>
        <v>邦善</v>
      </c>
      <c r="F731" s="13" t="str">
        <f>VLOOKUP(D:D,工作表2!A:C,3,0)</f>
        <v>藍</v>
      </c>
      <c r="G731" s="17">
        <v>10316458</v>
      </c>
      <c r="H731" s="17" t="s">
        <v>594</v>
      </c>
      <c r="I731" s="18" t="s">
        <v>602</v>
      </c>
      <c r="J731" s="15">
        <v>280</v>
      </c>
      <c r="K731" s="15">
        <v>7</v>
      </c>
      <c r="L731" s="20">
        <f t="shared" si="109"/>
        <v>2.5000000000000001E-2</v>
      </c>
      <c r="M731" s="12">
        <v>5</v>
      </c>
      <c r="N731" s="12">
        <v>2</v>
      </c>
      <c r="Q731" s="23"/>
    </row>
    <row r="732" spans="1:21">
      <c r="A732" s="25">
        <v>46113</v>
      </c>
      <c r="B732" s="29">
        <v>0.47430555555555554</v>
      </c>
      <c r="C732" s="19">
        <v>46119</v>
      </c>
      <c r="D732" s="24" t="str">
        <f t="shared" si="108"/>
        <v>SYL</v>
      </c>
      <c r="E732" s="13" t="str">
        <f>VLOOKUP(D:D,工作表2!A:B,2,0)</f>
        <v>邦善</v>
      </c>
      <c r="F732" s="13" t="str">
        <f>VLOOKUP(D:D,工作表2!A:C,3,0)</f>
        <v>藍</v>
      </c>
      <c r="G732" s="17">
        <v>10316455</v>
      </c>
      <c r="H732" s="17" t="s">
        <v>787</v>
      </c>
      <c r="I732" s="18" t="s">
        <v>793</v>
      </c>
      <c r="J732" s="15">
        <v>320</v>
      </c>
      <c r="K732" s="15">
        <v>17</v>
      </c>
      <c r="L732" s="20">
        <f t="shared" si="109"/>
        <v>5.3124999999999999E-2</v>
      </c>
      <c r="M732" s="12">
        <v>12</v>
      </c>
      <c r="N732" s="12">
        <v>5</v>
      </c>
      <c r="Q732" s="23" t="str">
        <f>VLOOKUP(H:H,'[1]雷雕處遮蔽&amp;艾仕得8844'!$A:$C,3,0)</f>
        <v>R</v>
      </c>
    </row>
    <row r="733" spans="1:21">
      <c r="A733" s="25">
        <v>46111</v>
      </c>
      <c r="B733" s="29">
        <v>0.5395833333333333</v>
      </c>
      <c r="C733" s="19">
        <v>46119</v>
      </c>
      <c r="D733" s="24" t="str">
        <f t="shared" si="108"/>
        <v>Q9B</v>
      </c>
      <c r="E733" s="13" t="str">
        <f>VLOOKUP(D:D,工作表2!A:B,2,0)</f>
        <v>邦善</v>
      </c>
      <c r="F733" s="13" t="str">
        <f>VLOOKUP(D:D,工作表2!A:C,3,0)</f>
        <v>黑</v>
      </c>
      <c r="G733" s="17">
        <v>10316437</v>
      </c>
      <c r="H733" s="17" t="s">
        <v>783</v>
      </c>
      <c r="I733" s="18" t="s">
        <v>785</v>
      </c>
      <c r="J733" s="15">
        <v>560</v>
      </c>
      <c r="K733" s="15">
        <v>65</v>
      </c>
      <c r="L733" s="20">
        <f t="shared" si="109"/>
        <v>0.11607142857142858</v>
      </c>
      <c r="M733" s="12">
        <v>50</v>
      </c>
      <c r="N733" s="12">
        <v>12</v>
      </c>
      <c r="P733" s="32" t="s">
        <v>1011</v>
      </c>
      <c r="Q733" s="23" t="str">
        <f>VLOOKUP(H:H,'[1]雷雕處遮蔽&amp;艾仕得8844'!$A:$C,3,0)</f>
        <v>R</v>
      </c>
      <c r="R733" s="15">
        <v>3</v>
      </c>
    </row>
    <row r="734" spans="1:21">
      <c r="A734" s="25">
        <v>46108</v>
      </c>
      <c r="B734" s="29">
        <v>0.37916666666666665</v>
      </c>
      <c r="C734" s="19">
        <v>46119</v>
      </c>
      <c r="D734" s="24" t="str">
        <f t="shared" si="108"/>
        <v>Q9B</v>
      </c>
      <c r="E734" s="13" t="str">
        <f>VLOOKUP(D:D,工作表2!A:B,2,0)</f>
        <v>邦善</v>
      </c>
      <c r="F734" s="13" t="str">
        <f>VLOOKUP(D:D,工作表2!A:C,3,0)</f>
        <v>黑</v>
      </c>
      <c r="G734" s="17">
        <v>10316438</v>
      </c>
      <c r="H734" s="17" t="s">
        <v>513</v>
      </c>
      <c r="I734" s="18" t="s">
        <v>525</v>
      </c>
      <c r="J734" s="15">
        <v>480</v>
      </c>
      <c r="K734" s="15">
        <v>51</v>
      </c>
      <c r="L734" s="20">
        <f t="shared" si="109"/>
        <v>0.10625</v>
      </c>
      <c r="M734" s="12">
        <v>30</v>
      </c>
      <c r="N734" s="12">
        <v>21</v>
      </c>
      <c r="Q734" s="23" t="str">
        <f>VLOOKUP(H:H,'[1]雷雕處遮蔽&amp;艾仕得8844'!$A:$C,3,0)</f>
        <v>L</v>
      </c>
    </row>
    <row r="735" spans="1:21">
      <c r="A735" s="25">
        <v>46111</v>
      </c>
      <c r="B735" s="29">
        <v>0.6069444444444444</v>
      </c>
      <c r="C735" s="19">
        <v>46119</v>
      </c>
      <c r="D735" s="24" t="str">
        <f t="shared" si="108"/>
        <v>R7A</v>
      </c>
      <c r="E735" s="13" t="str">
        <f>VLOOKUP(D:D,工作表2!A:B,2,0)</f>
        <v>邦善</v>
      </c>
      <c r="F735" s="13" t="str">
        <f>VLOOKUP(D:D,工作表2!A:C,3,0)</f>
        <v>灰</v>
      </c>
      <c r="G735" s="17">
        <v>10315764</v>
      </c>
      <c r="H735" s="17" t="s">
        <v>775</v>
      </c>
      <c r="I735" s="18" t="s">
        <v>780</v>
      </c>
      <c r="J735" s="15">
        <v>1072</v>
      </c>
      <c r="K735" s="15">
        <v>195</v>
      </c>
      <c r="L735" s="20">
        <f t="shared" si="109"/>
        <v>0.18190298507462688</v>
      </c>
      <c r="M735" s="12">
        <v>146</v>
      </c>
      <c r="N735" s="12">
        <v>23</v>
      </c>
      <c r="P735" s="32" t="s">
        <v>1010</v>
      </c>
      <c r="Q735" s="23" t="str">
        <f>VLOOKUP(H:H,'[1]雷雕處遮蔽&amp;艾仕得8844'!$A:$C,3,0)</f>
        <v>0度頭蓋</v>
      </c>
      <c r="U735" s="12">
        <v>26</v>
      </c>
    </row>
    <row r="736" spans="1:21">
      <c r="A736" s="25">
        <v>46111</v>
      </c>
      <c r="C736" s="19">
        <v>46119</v>
      </c>
      <c r="D736" s="24" t="str">
        <f t="shared" si="108"/>
        <v>BBB</v>
      </c>
      <c r="E736" s="13" t="str">
        <f>VLOOKUP(D:D,工作表2!A:B,2,0)</f>
        <v>邦善</v>
      </c>
      <c r="F736" s="13" t="str">
        <f>VLOOKUP(D:D,工作表2!A:C,3,0)</f>
        <v>霧面黑</v>
      </c>
      <c r="G736" s="17">
        <v>10320309</v>
      </c>
      <c r="H736" s="17" t="s">
        <v>514</v>
      </c>
      <c r="I736" s="18" t="s">
        <v>526</v>
      </c>
      <c r="J736" s="15">
        <v>402</v>
      </c>
      <c r="K736" s="15">
        <v>45</v>
      </c>
      <c r="L736" s="20">
        <f t="shared" si="109"/>
        <v>0.11194029850746269</v>
      </c>
      <c r="M736" s="12">
        <v>37</v>
      </c>
      <c r="N736" s="12">
        <v>8</v>
      </c>
      <c r="Q736" s="23" t="str">
        <f>VLOOKUP(H:H,'[1]雷雕處遮蔽&amp;艾仕得8844'!$A:$C,3,0)</f>
        <v>0度頭蓋</v>
      </c>
    </row>
    <row r="737" spans="1:17">
      <c r="A737" s="25">
        <v>46113</v>
      </c>
      <c r="B737" s="29">
        <v>0.5493055555555556</v>
      </c>
      <c r="C737" s="11">
        <v>46120</v>
      </c>
      <c r="D737" s="24" t="str">
        <f t="shared" ref="D737:D750" si="110">RIGHT(I737,3)</f>
        <v>NBB</v>
      </c>
      <c r="E737" s="13" t="str">
        <f>VLOOKUP(D:D,工作表2!A:B,2,0)</f>
        <v>邦善</v>
      </c>
      <c r="F737" s="13" t="str">
        <f>VLOOKUP(D:D,工作表2!A:C,3,0)</f>
        <v>霧面黑</v>
      </c>
      <c r="G737" s="17">
        <v>10320726</v>
      </c>
      <c r="H737" s="17" t="s">
        <v>369</v>
      </c>
      <c r="I737" s="18" t="s">
        <v>371</v>
      </c>
      <c r="J737" s="15">
        <v>2128</v>
      </c>
      <c r="K737" s="15">
        <v>150</v>
      </c>
      <c r="L737" s="20">
        <f t="shared" ref="L737:L750" si="111">K737/J737</f>
        <v>7.0488721804511281E-2</v>
      </c>
      <c r="M737" s="12">
        <v>130</v>
      </c>
      <c r="N737" s="12">
        <v>20</v>
      </c>
      <c r="Q737" s="23"/>
    </row>
    <row r="738" spans="1:17">
      <c r="A738" s="25">
        <v>46119</v>
      </c>
      <c r="B738" s="29">
        <v>0.56388888888888888</v>
      </c>
      <c r="C738" s="11">
        <v>46120</v>
      </c>
      <c r="D738" s="24" t="str">
        <f t="shared" si="110"/>
        <v>QUW</v>
      </c>
      <c r="E738" s="13" t="str">
        <f>VLOOKUP(D:D,工作表2!A:B,2,0)</f>
        <v>邦善</v>
      </c>
      <c r="F738" s="13" t="str">
        <f>VLOOKUP(D:D,工作表2!A:C,3,0)</f>
        <v>白</v>
      </c>
      <c r="G738" s="17">
        <v>10321562</v>
      </c>
      <c r="H738" s="17" t="s">
        <v>634</v>
      </c>
      <c r="I738" s="18" t="s">
        <v>640</v>
      </c>
      <c r="J738" s="15">
        <v>2394</v>
      </c>
      <c r="K738" s="15">
        <v>172</v>
      </c>
      <c r="L738" s="20">
        <f t="shared" si="111"/>
        <v>7.1846282372598158E-2</v>
      </c>
      <c r="M738" s="12">
        <v>154</v>
      </c>
      <c r="N738" s="12">
        <v>18</v>
      </c>
      <c r="Q738" s="23"/>
    </row>
    <row r="739" spans="1:17">
      <c r="A739" s="25">
        <v>46119</v>
      </c>
      <c r="B739" s="29">
        <v>0.57430555555555551</v>
      </c>
      <c r="C739" s="19">
        <v>46120</v>
      </c>
      <c r="D739" s="24" t="str">
        <f t="shared" si="110"/>
        <v>QUW</v>
      </c>
      <c r="E739" s="13" t="str">
        <f>VLOOKUP(D:D,工作表2!A:B,2,0)</f>
        <v>邦善</v>
      </c>
      <c r="F739" s="13" t="str">
        <f>VLOOKUP(D:D,工作表2!A:C,3,0)</f>
        <v>白</v>
      </c>
      <c r="G739" s="17">
        <v>10321582</v>
      </c>
      <c r="H739" s="17" t="s">
        <v>634</v>
      </c>
      <c r="I739" s="18" t="s">
        <v>640</v>
      </c>
      <c r="J739" s="15">
        <v>7714</v>
      </c>
      <c r="K739" s="15">
        <v>691</v>
      </c>
      <c r="L739" s="20">
        <f t="shared" si="111"/>
        <v>8.9577391755250188E-2</v>
      </c>
      <c r="M739" s="12">
        <v>567</v>
      </c>
      <c r="N739" s="12">
        <v>124</v>
      </c>
      <c r="Q739" s="23"/>
    </row>
    <row r="740" spans="1:17">
      <c r="A740" s="25">
        <v>46119</v>
      </c>
      <c r="B740" s="29">
        <v>0.38819444444444445</v>
      </c>
      <c r="C740" s="19">
        <v>46120</v>
      </c>
      <c r="D740" s="24" t="str">
        <f t="shared" si="110"/>
        <v>S3B</v>
      </c>
      <c r="E740" s="13" t="str">
        <f>VLOOKUP(D:D,工作表2!A:B,2,0)</f>
        <v>邦善</v>
      </c>
      <c r="F740" s="13" t="str">
        <f>VLOOKUP(D:D,工作表2!A:C,3,0)</f>
        <v>黑</v>
      </c>
      <c r="G740" s="17">
        <v>10321553</v>
      </c>
      <c r="H740" s="17" t="s">
        <v>375</v>
      </c>
      <c r="I740" s="18" t="s">
        <v>379</v>
      </c>
      <c r="J740" s="15">
        <v>2394</v>
      </c>
      <c r="K740" s="15">
        <v>115</v>
      </c>
      <c r="L740" s="20">
        <f t="shared" si="111"/>
        <v>4.803675856307435E-2</v>
      </c>
      <c r="M740" s="12">
        <v>109</v>
      </c>
      <c r="N740" s="12">
        <v>6</v>
      </c>
      <c r="Q740" s="23"/>
    </row>
    <row r="741" spans="1:17">
      <c r="A741" s="25">
        <v>46119</v>
      </c>
      <c r="B741" s="29">
        <v>0.4375</v>
      </c>
      <c r="C741" s="19">
        <v>46120</v>
      </c>
      <c r="D741" s="24" t="str">
        <f t="shared" si="110"/>
        <v>SAA</v>
      </c>
      <c r="E741" s="13" t="str">
        <f>VLOOKUP(D:D,工作表2!A:B,2,0)</f>
        <v>邦善</v>
      </c>
      <c r="F741" s="13" t="str">
        <f>VLOOKUP(D:D,工作表2!A:C,3,0)</f>
        <v>灰</v>
      </c>
      <c r="G741" s="17">
        <v>10321563</v>
      </c>
      <c r="H741" s="17" t="s">
        <v>619</v>
      </c>
      <c r="I741" s="18" t="s">
        <v>628</v>
      </c>
      <c r="J741" s="15">
        <v>3724</v>
      </c>
      <c r="K741" s="15">
        <v>85</v>
      </c>
      <c r="L741" s="20">
        <f t="shared" si="111"/>
        <v>2.2824919441460794E-2</v>
      </c>
      <c r="M741" s="12">
        <v>70</v>
      </c>
      <c r="N741" s="12">
        <v>15</v>
      </c>
      <c r="Q741" s="23"/>
    </row>
    <row r="742" spans="1:17">
      <c r="A742" s="25">
        <v>46114</v>
      </c>
      <c r="B742" s="29">
        <v>0.47291666666666665</v>
      </c>
      <c r="C742" s="19">
        <v>46120</v>
      </c>
      <c r="D742" s="24" t="str">
        <f t="shared" si="110"/>
        <v>N8B</v>
      </c>
      <c r="E742" s="13" t="str">
        <f>VLOOKUP(D:D,工作表2!A:B,2,0)</f>
        <v>邦善</v>
      </c>
      <c r="F742" s="13" t="str">
        <f>VLOOKUP(D:D,工作表2!A:C,3,0)</f>
        <v>霧面黑</v>
      </c>
      <c r="G742" s="17">
        <v>10320720</v>
      </c>
      <c r="H742" s="17" t="s">
        <v>5</v>
      </c>
      <c r="I742" s="18" t="s">
        <v>6</v>
      </c>
      <c r="J742" s="15">
        <v>9842</v>
      </c>
      <c r="K742" s="15">
        <v>147</v>
      </c>
      <c r="L742" s="20">
        <f t="shared" si="111"/>
        <v>1.4935988620199146E-2</v>
      </c>
      <c r="M742" s="12">
        <v>110</v>
      </c>
      <c r="N742" s="12">
        <v>37</v>
      </c>
      <c r="Q742" s="23"/>
    </row>
    <row r="743" spans="1:17">
      <c r="A743" s="25">
        <v>46114</v>
      </c>
      <c r="B743" s="29">
        <v>0.58680555555555558</v>
      </c>
      <c r="C743" s="19">
        <v>46120</v>
      </c>
      <c r="D743" s="24" t="str">
        <f t="shared" si="110"/>
        <v>VPL</v>
      </c>
      <c r="E743" s="13" t="str">
        <f>VLOOKUP(D:D,工作表2!A:B,2,0)</f>
        <v>邦善</v>
      </c>
      <c r="F743" s="13" t="str">
        <f>VLOOKUP(D:D,工作表2!A:C,3,0)</f>
        <v>藍</v>
      </c>
      <c r="G743" s="17">
        <v>10321016</v>
      </c>
      <c r="H743" s="17" t="s">
        <v>325</v>
      </c>
      <c r="I743" s="18" t="s">
        <v>326</v>
      </c>
      <c r="J743" s="15">
        <v>798</v>
      </c>
      <c r="K743" s="15">
        <v>42</v>
      </c>
      <c r="L743" s="20">
        <f t="shared" si="111"/>
        <v>5.2631578947368418E-2</v>
      </c>
      <c r="M743" s="12">
        <v>36</v>
      </c>
      <c r="N743" s="12">
        <v>6</v>
      </c>
      <c r="Q743" s="23"/>
    </row>
    <row r="744" spans="1:17">
      <c r="A744" s="25">
        <v>46119</v>
      </c>
      <c r="B744" s="29">
        <v>0.47083333333333338</v>
      </c>
      <c r="C744" s="19">
        <v>46120</v>
      </c>
      <c r="D744" s="24" t="str">
        <f t="shared" si="110"/>
        <v>NRR</v>
      </c>
      <c r="E744" s="13" t="str">
        <f>VLOOKUP(D:D,工作表2!A:B,2,0)</f>
        <v>邦善</v>
      </c>
      <c r="F744" s="13" t="str">
        <f>VLOOKUP(D:D,工作表2!A:C,3,0)</f>
        <v>紅</v>
      </c>
      <c r="G744" s="17">
        <v>10316450</v>
      </c>
      <c r="H744" s="17" t="s">
        <v>1013</v>
      </c>
      <c r="I744" s="18" t="s">
        <v>1016</v>
      </c>
      <c r="J744" s="15">
        <v>440</v>
      </c>
      <c r="K744" s="15">
        <v>15</v>
      </c>
      <c r="L744" s="20">
        <f t="shared" si="111"/>
        <v>3.4090909090909088E-2</v>
      </c>
      <c r="M744" s="12">
        <v>13</v>
      </c>
      <c r="N744" s="12">
        <v>2</v>
      </c>
      <c r="Q744" s="23" t="str">
        <f>VLOOKUP(H:H,'[1]雷雕處遮蔽&amp;艾仕得8844'!$A:$C,3,0)</f>
        <v>L</v>
      </c>
    </row>
    <row r="745" spans="1:17">
      <c r="A745" s="25">
        <v>46114</v>
      </c>
      <c r="B745" s="29">
        <v>0.5541666666666667</v>
      </c>
      <c r="C745" s="19">
        <v>46120</v>
      </c>
      <c r="D745" s="24" t="str">
        <f t="shared" si="110"/>
        <v>N8B</v>
      </c>
      <c r="E745" s="13" t="str">
        <f>VLOOKUP(D:D,工作表2!A:B,2,0)</f>
        <v>邦善</v>
      </c>
      <c r="F745" s="13" t="str">
        <f>VLOOKUP(D:D,工作表2!A:C,3,0)</f>
        <v>霧面黑</v>
      </c>
      <c r="G745" s="17">
        <v>10321514</v>
      </c>
      <c r="H745" s="17" t="s">
        <v>870</v>
      </c>
      <c r="I745" s="18" t="s">
        <v>876</v>
      </c>
      <c r="J745" s="15">
        <v>520</v>
      </c>
      <c r="K745" s="15">
        <v>47</v>
      </c>
      <c r="L745" s="20">
        <f t="shared" si="111"/>
        <v>9.0384615384615383E-2</v>
      </c>
      <c r="M745" s="12">
        <v>37</v>
      </c>
      <c r="N745" s="12">
        <v>10</v>
      </c>
      <c r="Q745" s="23" t="str">
        <f>VLOOKUP(H:H,'[1]雷雕處遮蔽&amp;艾仕得8844'!$A:$C,3,0)</f>
        <v>R</v>
      </c>
    </row>
    <row r="746" spans="1:17">
      <c r="A746" s="25">
        <v>46114</v>
      </c>
      <c r="B746" s="29">
        <v>0.56805555555555554</v>
      </c>
      <c r="C746" s="19">
        <v>46120</v>
      </c>
      <c r="D746" s="24" t="str">
        <f t="shared" si="110"/>
        <v>N8B</v>
      </c>
      <c r="E746" s="13" t="str">
        <f>VLOOKUP(D:D,工作表2!A:B,2,0)</f>
        <v>邦善</v>
      </c>
      <c r="F746" s="13" t="str">
        <f>VLOOKUP(D:D,工作表2!A:C,3,0)</f>
        <v>霧面黑</v>
      </c>
      <c r="G746" s="17">
        <v>10321513</v>
      </c>
      <c r="H746" s="17" t="s">
        <v>871</v>
      </c>
      <c r="I746" s="18" t="s">
        <v>877</v>
      </c>
      <c r="J746" s="15">
        <v>520</v>
      </c>
      <c r="K746" s="15">
        <v>58</v>
      </c>
      <c r="L746" s="20">
        <f t="shared" si="111"/>
        <v>0.11153846153846154</v>
      </c>
      <c r="M746" s="12">
        <v>42</v>
      </c>
      <c r="N746" s="12">
        <v>16</v>
      </c>
      <c r="Q746" s="23" t="str">
        <f>VLOOKUP(H:H,'[1]雷雕處遮蔽&amp;艾仕得8844'!$A:$C,3,0)</f>
        <v>L</v>
      </c>
    </row>
    <row r="747" spans="1:17">
      <c r="A747" s="25">
        <v>46108</v>
      </c>
      <c r="B747" s="29">
        <v>0.39583333333333331</v>
      </c>
      <c r="C747" s="19">
        <v>46120</v>
      </c>
      <c r="D747" s="24" t="str">
        <f t="shared" si="110"/>
        <v>Q9B</v>
      </c>
      <c r="E747" s="13" t="str">
        <f>VLOOKUP(D:D,工作表2!A:B,2,0)</f>
        <v>邦善</v>
      </c>
      <c r="F747" s="13" t="str">
        <f>VLOOKUP(D:D,工作表2!A:C,3,0)</f>
        <v>黑</v>
      </c>
      <c r="G747" s="17">
        <v>10324367</v>
      </c>
      <c r="H747" s="17" t="s">
        <v>939</v>
      </c>
      <c r="I747" s="18" t="s">
        <v>945</v>
      </c>
      <c r="J747" s="15">
        <v>890</v>
      </c>
      <c r="K747" s="15">
        <v>258</v>
      </c>
      <c r="L747" s="20">
        <f t="shared" si="111"/>
        <v>0.28988764044943821</v>
      </c>
      <c r="M747" s="12">
        <v>210</v>
      </c>
      <c r="N747" s="12">
        <v>48</v>
      </c>
      <c r="P747" s="32" t="s">
        <v>977</v>
      </c>
      <c r="Q747" s="23" t="str">
        <f>VLOOKUP(H:H,'[1]雷雕處遮蔽&amp;艾仕得8844'!$A:$C,3,0)</f>
        <v>L</v>
      </c>
    </row>
    <row r="748" spans="1:17">
      <c r="A748" s="25">
        <v>46108</v>
      </c>
      <c r="B748" s="29">
        <v>0.39583333333333331</v>
      </c>
      <c r="C748" s="19">
        <v>46120</v>
      </c>
      <c r="D748" s="24" t="str">
        <f t="shared" si="110"/>
        <v>Q9B</v>
      </c>
      <c r="E748" s="13" t="str">
        <f>VLOOKUP(D:D,工作表2!A:B,2,0)</f>
        <v>邦善</v>
      </c>
      <c r="F748" s="13" t="str">
        <f>VLOOKUP(D:D,工作表2!A:C,3,0)</f>
        <v>黑</v>
      </c>
      <c r="G748" s="17">
        <v>10318585</v>
      </c>
      <c r="H748" s="17" t="s">
        <v>939</v>
      </c>
      <c r="I748" s="18" t="s">
        <v>945</v>
      </c>
      <c r="J748" s="15">
        <v>350</v>
      </c>
      <c r="K748" s="15">
        <v>110</v>
      </c>
      <c r="L748" s="20">
        <f t="shared" si="111"/>
        <v>0.31428571428571428</v>
      </c>
      <c r="M748" s="12">
        <v>90</v>
      </c>
      <c r="N748" s="12">
        <v>20</v>
      </c>
      <c r="P748" s="32" t="s">
        <v>977</v>
      </c>
      <c r="Q748" s="23" t="str">
        <f>VLOOKUP(H:H,'[1]雷雕處遮蔽&amp;艾仕得8844'!$A:$C,3,0)</f>
        <v>L</v>
      </c>
    </row>
    <row r="749" spans="1:17">
      <c r="A749" s="25">
        <v>46114</v>
      </c>
      <c r="B749" s="29">
        <v>0.58611111111111114</v>
      </c>
      <c r="C749" s="19">
        <v>46120</v>
      </c>
      <c r="D749" s="24" t="str">
        <f t="shared" si="110"/>
        <v>D3B</v>
      </c>
      <c r="E749" s="13" t="str">
        <f>VLOOKUP(D:D,工作表2!A:B,2,0)</f>
        <v>邦善</v>
      </c>
      <c r="F749" s="13" t="str">
        <f>VLOOKUP(D:D,工作表2!A:C,3,0)</f>
        <v>黑</v>
      </c>
      <c r="G749" s="17">
        <v>10320715</v>
      </c>
      <c r="H749" s="17" t="s">
        <v>1015</v>
      </c>
      <c r="I749" s="18" t="s">
        <v>1018</v>
      </c>
      <c r="J749" s="15">
        <v>30</v>
      </c>
      <c r="K749" s="15">
        <v>4</v>
      </c>
      <c r="L749" s="20">
        <f t="shared" si="111"/>
        <v>0.13333333333333333</v>
      </c>
      <c r="M749" s="12">
        <v>3</v>
      </c>
      <c r="N749" s="12">
        <v>1</v>
      </c>
      <c r="Q749" s="23"/>
    </row>
    <row r="750" spans="1:17">
      <c r="A750" s="25">
        <v>46114</v>
      </c>
      <c r="B750" s="29">
        <v>0.5854166666666667</v>
      </c>
      <c r="C750" s="19">
        <v>46120</v>
      </c>
      <c r="D750" s="24" t="str">
        <f t="shared" si="110"/>
        <v>DES</v>
      </c>
      <c r="E750" s="13" t="str">
        <f>VLOOKUP(D:D,工作表2!A:B,2,0)</f>
        <v>建榮</v>
      </c>
      <c r="F750" s="13" t="str">
        <f>VLOOKUP(D:D,工作表2!A:C,3,0)</f>
        <v>銀</v>
      </c>
      <c r="G750" s="17">
        <v>10320708</v>
      </c>
      <c r="H750" s="17" t="s">
        <v>1014</v>
      </c>
      <c r="I750" s="18" t="s">
        <v>1017</v>
      </c>
      <c r="J750" s="15">
        <v>30</v>
      </c>
      <c r="K750" s="15">
        <v>4</v>
      </c>
      <c r="L750" s="20">
        <f t="shared" si="111"/>
        <v>0.13333333333333333</v>
      </c>
      <c r="M750" s="12">
        <v>3</v>
      </c>
      <c r="N750" s="12">
        <v>1</v>
      </c>
      <c r="Q750" s="23"/>
    </row>
    <row r="751" spans="1:17">
      <c r="A751" s="25">
        <v>46114</v>
      </c>
      <c r="B751" s="29">
        <v>0.58472222222222225</v>
      </c>
      <c r="C751" s="11">
        <v>46121</v>
      </c>
      <c r="D751" s="24" t="str">
        <f t="shared" ref="D751:D762" si="112">RIGHT(I751,3)</f>
        <v>JJB</v>
      </c>
      <c r="E751" s="13" t="str">
        <f>VLOOKUP(D:D,工作表2!A:B,2,0)</f>
        <v>邦善</v>
      </c>
      <c r="F751" s="13" t="str">
        <f>VLOOKUP(D:D,工作表2!A:C,3,0)</f>
        <v>黑</v>
      </c>
      <c r="G751" s="17">
        <v>10320003</v>
      </c>
      <c r="H751" s="17" t="s">
        <v>1020</v>
      </c>
      <c r="I751" s="18" t="s">
        <v>1022</v>
      </c>
      <c r="J751" s="15">
        <v>160</v>
      </c>
      <c r="K751" s="15">
        <v>10</v>
      </c>
      <c r="L751" s="20">
        <f t="shared" ref="L751:L762" si="113">K751/J751</f>
        <v>6.25E-2</v>
      </c>
      <c r="M751" s="12">
        <v>8</v>
      </c>
      <c r="N751" s="12">
        <v>2</v>
      </c>
      <c r="Q751" s="23"/>
    </row>
    <row r="752" spans="1:17">
      <c r="A752" s="25">
        <v>46119</v>
      </c>
      <c r="B752" s="29">
        <v>0.375</v>
      </c>
      <c r="C752" s="11">
        <v>46121</v>
      </c>
      <c r="D752" s="24" t="str">
        <f t="shared" si="112"/>
        <v>QRB</v>
      </c>
      <c r="E752" s="13" t="str">
        <f>VLOOKUP(D:D,工作表2!A:B,2,0)</f>
        <v>邦善</v>
      </c>
      <c r="F752" s="13" t="str">
        <f>VLOOKUP(D:D,工作表2!A:C,3,0)</f>
        <v>霧面黑</v>
      </c>
      <c r="G752" s="17">
        <v>10321587</v>
      </c>
      <c r="H752" s="17" t="s">
        <v>170</v>
      </c>
      <c r="I752" s="18" t="s">
        <v>171</v>
      </c>
      <c r="J752" s="15">
        <v>26600</v>
      </c>
      <c r="K752" s="15">
        <v>632</v>
      </c>
      <c r="L752" s="20">
        <f t="shared" si="113"/>
        <v>2.3759398496240602E-2</v>
      </c>
      <c r="M752" s="12">
        <v>592</v>
      </c>
      <c r="N752" s="12">
        <v>36</v>
      </c>
      <c r="O752" s="15">
        <v>4</v>
      </c>
      <c r="Q752" s="23"/>
    </row>
    <row r="753" spans="1:17">
      <c r="A753" s="25">
        <v>46114</v>
      </c>
      <c r="B753" s="29">
        <v>0.37986111111111115</v>
      </c>
      <c r="C753" s="19">
        <v>46121</v>
      </c>
      <c r="D753" s="24" t="str">
        <f t="shared" si="112"/>
        <v>QRB</v>
      </c>
      <c r="E753" s="13" t="str">
        <f>VLOOKUP(D:D,工作表2!A:B,2,0)</f>
        <v>邦善</v>
      </c>
      <c r="F753" s="13" t="str">
        <f>VLOOKUP(D:D,工作表2!A:C,3,0)</f>
        <v>霧面黑</v>
      </c>
      <c r="G753" s="17">
        <v>10321577</v>
      </c>
      <c r="H753" s="17" t="s">
        <v>170</v>
      </c>
      <c r="I753" s="18" t="s">
        <v>171</v>
      </c>
      <c r="J753" s="15">
        <v>2480</v>
      </c>
      <c r="K753" s="15">
        <v>143</v>
      </c>
      <c r="L753" s="20">
        <f t="shared" si="113"/>
        <v>5.7661290322580647E-2</v>
      </c>
      <c r="M753" s="12">
        <v>100</v>
      </c>
      <c r="N753" s="12">
        <v>33</v>
      </c>
      <c r="O753" s="15">
        <v>10</v>
      </c>
      <c r="Q753" s="23"/>
    </row>
    <row r="754" spans="1:17">
      <c r="A754" s="25">
        <v>46119</v>
      </c>
      <c r="B754" s="29">
        <v>0.3972222222222222</v>
      </c>
      <c r="C754" s="19">
        <v>46121</v>
      </c>
      <c r="D754" s="24" t="str">
        <f t="shared" si="112"/>
        <v>QSB</v>
      </c>
      <c r="E754" s="13" t="str">
        <f>VLOOKUP(D:D,工作表2!A:B,2,0)</f>
        <v>邦善</v>
      </c>
      <c r="F754" s="13" t="str">
        <f>VLOOKUP(D:D,工作表2!A:C,3,0)</f>
        <v>黑</v>
      </c>
      <c r="G754" s="17">
        <v>10321578</v>
      </c>
      <c r="H754" s="17" t="s">
        <v>583</v>
      </c>
      <c r="I754" s="18" t="s">
        <v>587</v>
      </c>
      <c r="J754" s="15">
        <v>9576</v>
      </c>
      <c r="K754" s="15">
        <v>456</v>
      </c>
      <c r="L754" s="20">
        <f t="shared" si="113"/>
        <v>4.7619047619047616E-2</v>
      </c>
      <c r="M754" s="12">
        <v>352</v>
      </c>
      <c r="N754" s="12">
        <v>104</v>
      </c>
      <c r="Q754" s="23"/>
    </row>
    <row r="755" spans="1:17">
      <c r="A755" s="25">
        <v>46119</v>
      </c>
      <c r="B755" s="29">
        <v>0.45277777777777778</v>
      </c>
      <c r="C755" s="19">
        <v>46121</v>
      </c>
      <c r="D755" s="24" t="str">
        <f t="shared" si="112"/>
        <v>VLS</v>
      </c>
      <c r="E755" s="13" t="str">
        <f>VLOOKUP(D:D,工作表2!A:B,2,0)</f>
        <v>邦善</v>
      </c>
      <c r="F755" s="13" t="str">
        <f>VLOOKUP(D:D,工作表2!A:C,3,0)</f>
        <v>銀</v>
      </c>
      <c r="G755" s="17">
        <v>10321566</v>
      </c>
      <c r="H755" s="17" t="s">
        <v>383</v>
      </c>
      <c r="I755" s="18" t="s">
        <v>388</v>
      </c>
      <c r="J755" s="15">
        <v>1862</v>
      </c>
      <c r="K755" s="15">
        <v>63</v>
      </c>
      <c r="L755" s="20">
        <f t="shared" si="113"/>
        <v>3.3834586466165412E-2</v>
      </c>
      <c r="M755" s="12">
        <v>55</v>
      </c>
      <c r="N755" s="12">
        <v>8</v>
      </c>
      <c r="Q755" s="23"/>
    </row>
    <row r="756" spans="1:17">
      <c r="A756" s="25">
        <v>46119</v>
      </c>
      <c r="B756" s="29">
        <v>0.45902777777777781</v>
      </c>
      <c r="C756" s="19">
        <v>46121</v>
      </c>
      <c r="D756" s="24" t="str">
        <f t="shared" si="112"/>
        <v>VWL</v>
      </c>
      <c r="E756" s="13" t="str">
        <f>VLOOKUP(D:D,工作表2!A:B,2,0)</f>
        <v>邦善</v>
      </c>
      <c r="F756" s="13" t="str">
        <f>VLOOKUP(D:D,工作表2!A:C,3,0)</f>
        <v>藍</v>
      </c>
      <c r="G756" s="17">
        <v>10321564</v>
      </c>
      <c r="H756" s="17" t="s">
        <v>400</v>
      </c>
      <c r="I756" s="18" t="s">
        <v>401</v>
      </c>
      <c r="J756" s="15">
        <v>1862</v>
      </c>
      <c r="K756" s="15">
        <v>92</v>
      </c>
      <c r="L756" s="20">
        <f t="shared" si="113"/>
        <v>4.9409237379162189E-2</v>
      </c>
      <c r="M756" s="12">
        <v>77</v>
      </c>
      <c r="N756" s="12">
        <v>15</v>
      </c>
      <c r="Q756" s="23"/>
    </row>
    <row r="757" spans="1:17">
      <c r="A757" s="25">
        <v>46120</v>
      </c>
      <c r="B757" s="29">
        <v>0.53333333333333333</v>
      </c>
      <c r="C757" s="19">
        <v>46121</v>
      </c>
      <c r="D757" s="24" t="str">
        <f t="shared" si="112"/>
        <v>N8B</v>
      </c>
      <c r="E757" s="13" t="str">
        <f>VLOOKUP(D:D,工作表2!A:B,2,0)</f>
        <v>邦善</v>
      </c>
      <c r="F757" s="13" t="str">
        <f>VLOOKUP(D:D,工作表2!A:C,3,0)</f>
        <v>霧面黑</v>
      </c>
      <c r="G757" s="17">
        <v>10326311</v>
      </c>
      <c r="H757" s="17" t="s">
        <v>893</v>
      </c>
      <c r="I757" s="18" t="s">
        <v>900</v>
      </c>
      <c r="J757" s="15">
        <v>40</v>
      </c>
      <c r="K757" s="15">
        <v>6</v>
      </c>
      <c r="L757" s="20">
        <f t="shared" si="113"/>
        <v>0.15</v>
      </c>
      <c r="M757" s="12">
        <v>5</v>
      </c>
      <c r="N757" s="12">
        <v>1</v>
      </c>
      <c r="Q757" s="23" t="str">
        <f>VLOOKUP(H:H,'[1]雷雕處遮蔽&amp;艾仕得8844'!$A:$C,3,0)</f>
        <v>L</v>
      </c>
    </row>
    <row r="758" spans="1:17">
      <c r="A758" s="25">
        <v>46114</v>
      </c>
      <c r="B758" s="29">
        <v>0.59097222222222223</v>
      </c>
      <c r="C758" s="19">
        <v>46121</v>
      </c>
      <c r="D758" s="24" t="str">
        <f t="shared" si="112"/>
        <v>RCA</v>
      </c>
      <c r="E758" s="13" t="str">
        <f>VLOOKUP(D:D,工作表2!A:B,2,0)</f>
        <v>邦善</v>
      </c>
      <c r="F758" s="13" t="str">
        <f>VLOOKUP(D:D,工作表2!A:C,3,0)</f>
        <v>灰</v>
      </c>
      <c r="G758" s="17">
        <v>10316453</v>
      </c>
      <c r="H758" s="17" t="s">
        <v>872</v>
      </c>
      <c r="I758" s="18" t="s">
        <v>878</v>
      </c>
      <c r="J758" s="15">
        <v>400</v>
      </c>
      <c r="K758" s="15">
        <v>24</v>
      </c>
      <c r="L758" s="20">
        <f t="shared" si="113"/>
        <v>0.06</v>
      </c>
      <c r="M758" s="12">
        <v>19</v>
      </c>
      <c r="N758" s="12">
        <v>5</v>
      </c>
      <c r="Q758" s="23" t="str">
        <f>VLOOKUP(H:H,'[1]雷雕處遮蔽&amp;艾仕得8844'!$A:$C,3,0)</f>
        <v>L</v>
      </c>
    </row>
    <row r="759" spans="1:17">
      <c r="A759" s="25">
        <v>46120</v>
      </c>
      <c r="B759" s="29">
        <v>0.61875000000000002</v>
      </c>
      <c r="C759" s="19">
        <v>46121</v>
      </c>
      <c r="D759" s="24" t="str">
        <f t="shared" si="112"/>
        <v>NRR</v>
      </c>
      <c r="E759" s="13" t="str">
        <f>VLOOKUP(D:D,工作表2!A:B,2,0)</f>
        <v>邦善</v>
      </c>
      <c r="F759" s="13" t="str">
        <f>VLOOKUP(D:D,工作表2!A:C,3,0)</f>
        <v>紅</v>
      </c>
      <c r="G759" s="17">
        <v>10321027</v>
      </c>
      <c r="H759" s="17" t="s">
        <v>1019</v>
      </c>
      <c r="I759" s="18" t="s">
        <v>1021</v>
      </c>
      <c r="J759" s="15">
        <v>400</v>
      </c>
      <c r="K759" s="15">
        <v>32</v>
      </c>
      <c r="L759" s="20">
        <f t="shared" si="113"/>
        <v>0.08</v>
      </c>
      <c r="M759" s="12">
        <v>25</v>
      </c>
      <c r="N759" s="12">
        <v>7</v>
      </c>
      <c r="Q759" s="23" t="str">
        <f>VLOOKUP(H:H,'[1]雷雕處遮蔽&amp;艾仕得8844'!$A:$C,3,0)</f>
        <v>L</v>
      </c>
    </row>
    <row r="760" spans="1:17">
      <c r="A760" s="25">
        <v>46119</v>
      </c>
      <c r="B760" s="29">
        <v>0.52638888888888891</v>
      </c>
      <c r="C760" s="19">
        <v>46121</v>
      </c>
      <c r="D760" s="24" t="str">
        <f t="shared" si="112"/>
        <v>NRR</v>
      </c>
      <c r="E760" s="13" t="str">
        <f>VLOOKUP(D:D,工作表2!A:B,2,0)</f>
        <v>邦善</v>
      </c>
      <c r="F760" s="13" t="str">
        <f>VLOOKUP(D:D,工作表2!A:C,3,0)</f>
        <v>紅</v>
      </c>
      <c r="G760" s="17">
        <v>10316462</v>
      </c>
      <c r="H760" s="17" t="s">
        <v>633</v>
      </c>
      <c r="I760" s="18" t="s">
        <v>639</v>
      </c>
      <c r="J760" s="15">
        <v>280</v>
      </c>
      <c r="K760" s="15">
        <v>24</v>
      </c>
      <c r="L760" s="20">
        <f t="shared" si="113"/>
        <v>8.5714285714285715E-2</v>
      </c>
      <c r="M760" s="12">
        <v>18</v>
      </c>
      <c r="N760" s="12">
        <v>6</v>
      </c>
      <c r="Q760" s="23"/>
    </row>
    <row r="761" spans="1:17">
      <c r="A761" s="25">
        <v>46111</v>
      </c>
      <c r="B761" s="29">
        <v>0.52777777777777779</v>
      </c>
      <c r="C761" s="19">
        <v>46121</v>
      </c>
      <c r="D761" s="24" t="str">
        <f t="shared" si="112"/>
        <v>Q9B</v>
      </c>
      <c r="E761" s="13" t="str">
        <f>VLOOKUP(D:D,工作表2!A:B,2,0)</f>
        <v>邦善</v>
      </c>
      <c r="F761" s="13" t="str">
        <f>VLOOKUP(D:D,工作表2!A:C,3,0)</f>
        <v>黑</v>
      </c>
      <c r="G761" s="17">
        <v>10316468</v>
      </c>
      <c r="H761" s="17" t="s">
        <v>792</v>
      </c>
      <c r="I761" s="18" t="s">
        <v>798</v>
      </c>
      <c r="J761" s="15">
        <v>520</v>
      </c>
      <c r="K761" s="15">
        <v>29</v>
      </c>
      <c r="L761" s="20">
        <f t="shared" si="113"/>
        <v>5.5769230769230772E-2</v>
      </c>
      <c r="M761" s="12">
        <v>19</v>
      </c>
      <c r="N761" s="12">
        <v>10</v>
      </c>
      <c r="Q761" s="23" t="str">
        <f>VLOOKUP(H:H,'[1]雷雕處遮蔽&amp;艾仕得8844'!$A:$C,3,0)</f>
        <v>L</v>
      </c>
    </row>
    <row r="762" spans="1:17">
      <c r="A762" s="25">
        <v>46114</v>
      </c>
      <c r="C762" s="19">
        <v>46121</v>
      </c>
      <c r="D762" s="24" t="str">
        <f t="shared" si="112"/>
        <v>05W</v>
      </c>
      <c r="E762" s="13" t="str">
        <f>VLOOKUP(D:D,工作表2!A:B,2,0)</f>
        <v>邦善</v>
      </c>
      <c r="F762" s="13" t="str">
        <f>VLOOKUP(D:D,工作表2!A:C,3,0)</f>
        <v>白</v>
      </c>
      <c r="G762" s="17">
        <v>10323920</v>
      </c>
      <c r="H762" s="17" t="s">
        <v>875</v>
      </c>
      <c r="I762" s="18" t="s">
        <v>881</v>
      </c>
      <c r="J762" s="15">
        <v>40</v>
      </c>
      <c r="K762" s="15">
        <v>2</v>
      </c>
      <c r="L762" s="20">
        <f t="shared" si="113"/>
        <v>0.05</v>
      </c>
      <c r="M762" s="12">
        <v>2</v>
      </c>
      <c r="Q762" s="23" t="str">
        <f>VLOOKUP(H:H,'[1]雷雕處遮蔽&amp;艾仕得8844'!$A:$C,3,0)</f>
        <v>0度頭蓋</v>
      </c>
    </row>
    <row r="763" spans="1:17">
      <c r="A763" s="25">
        <v>46120</v>
      </c>
      <c r="B763" s="29">
        <v>0.61458333333333337</v>
      </c>
      <c r="C763" s="11">
        <v>46122</v>
      </c>
      <c r="D763" s="24" t="str">
        <f t="shared" ref="D763:D776" si="114">RIGHT(I763,3)</f>
        <v>HSS</v>
      </c>
      <c r="E763" s="13" t="str">
        <f>VLOOKUP(D:D,工作表2!A:B,2,0)</f>
        <v>邦善</v>
      </c>
      <c r="F763" s="13" t="str">
        <f>VLOOKUP(D:D,工作表2!A:C,3,0)</f>
        <v>銀</v>
      </c>
      <c r="G763" s="17">
        <v>10323103</v>
      </c>
      <c r="H763" s="17" t="s">
        <v>943</v>
      </c>
      <c r="I763" s="18" t="s">
        <v>949</v>
      </c>
      <c r="J763" s="15">
        <v>80</v>
      </c>
      <c r="K763" s="15">
        <v>8</v>
      </c>
      <c r="L763" s="20">
        <f t="shared" ref="L763:L776" si="115">K763/J763</f>
        <v>0.1</v>
      </c>
      <c r="M763" s="12">
        <v>5</v>
      </c>
      <c r="N763" s="12">
        <v>3</v>
      </c>
      <c r="Q763" s="23"/>
    </row>
    <row r="764" spans="1:17">
      <c r="A764" s="25">
        <v>46120</v>
      </c>
      <c r="B764" s="29">
        <v>0.59861111111111109</v>
      </c>
      <c r="C764" s="11">
        <v>46122</v>
      </c>
      <c r="D764" s="24" t="str">
        <f t="shared" si="114"/>
        <v>JCB</v>
      </c>
      <c r="E764" s="13" t="str">
        <f>VLOOKUP(D:D,工作表2!A:B,2,0)</f>
        <v>邦善</v>
      </c>
      <c r="F764" s="13" t="str">
        <f>VLOOKUP(D:D,工作表2!A:C,3,0)</f>
        <v>黑</v>
      </c>
      <c r="G764" s="17">
        <v>10323104</v>
      </c>
      <c r="H764" s="17" t="s">
        <v>821</v>
      </c>
      <c r="I764" s="18" t="s">
        <v>830</v>
      </c>
      <c r="J764" s="15">
        <v>80</v>
      </c>
      <c r="K764" s="15">
        <v>9</v>
      </c>
      <c r="L764" s="20">
        <f t="shared" si="115"/>
        <v>0.1125</v>
      </c>
      <c r="M764" s="12">
        <v>6</v>
      </c>
      <c r="N764" s="12">
        <v>3</v>
      </c>
      <c r="Q764" s="23"/>
    </row>
    <row r="765" spans="1:17">
      <c r="A765" s="25">
        <v>46120</v>
      </c>
      <c r="B765" s="29">
        <v>0.60069444444444442</v>
      </c>
      <c r="C765" s="19">
        <v>46122</v>
      </c>
      <c r="D765" s="24" t="str">
        <f t="shared" si="114"/>
        <v>L3B</v>
      </c>
      <c r="E765" s="13" t="str">
        <f>VLOOKUP(D:D,工作表2!A:B,2,0)</f>
        <v>邦善</v>
      </c>
      <c r="F765" s="13" t="str">
        <f>VLOOKUP(D:D,工作表2!A:C,3,0)</f>
        <v>黑</v>
      </c>
      <c r="G765" s="17">
        <v>10323102</v>
      </c>
      <c r="H765" s="17" t="s">
        <v>649</v>
      </c>
      <c r="I765" s="18" t="s">
        <v>659</v>
      </c>
      <c r="J765" s="15">
        <v>80</v>
      </c>
      <c r="K765" s="15">
        <v>7</v>
      </c>
      <c r="L765" s="20">
        <f t="shared" si="115"/>
        <v>8.7499999999999994E-2</v>
      </c>
      <c r="M765" s="12">
        <v>5</v>
      </c>
      <c r="N765" s="12">
        <v>2</v>
      </c>
      <c r="Q765" s="23"/>
    </row>
    <row r="766" spans="1:17">
      <c r="A766" s="25">
        <v>46121</v>
      </c>
      <c r="B766" s="29">
        <v>0.38541666666666669</v>
      </c>
      <c r="C766" s="19">
        <v>46122</v>
      </c>
      <c r="D766" s="24" t="str">
        <f t="shared" si="114"/>
        <v>QRB</v>
      </c>
      <c r="E766" s="13" t="str">
        <f>VLOOKUP(D:D,工作表2!A:B,2,0)</f>
        <v>邦善</v>
      </c>
      <c r="F766" s="13" t="str">
        <f>VLOOKUP(D:D,工作表2!A:C,3,0)</f>
        <v>霧面黑</v>
      </c>
      <c r="G766" s="17">
        <v>10321588</v>
      </c>
      <c r="H766" s="17" t="s">
        <v>170</v>
      </c>
      <c r="I766" s="18" t="s">
        <v>171</v>
      </c>
      <c r="J766" s="15">
        <v>26600</v>
      </c>
      <c r="K766" s="15">
        <v>1092</v>
      </c>
      <c r="L766" s="20">
        <f t="shared" si="115"/>
        <v>4.1052631578947368E-2</v>
      </c>
      <c r="M766" s="12">
        <v>882</v>
      </c>
      <c r="N766" s="12">
        <v>210</v>
      </c>
      <c r="Q766" s="23"/>
    </row>
    <row r="767" spans="1:17">
      <c r="A767" s="25">
        <v>46119</v>
      </c>
      <c r="B767" s="29">
        <v>0.52152777777777781</v>
      </c>
      <c r="C767" s="19">
        <v>46122</v>
      </c>
      <c r="D767" s="24" t="str">
        <f t="shared" si="114"/>
        <v>NRR</v>
      </c>
      <c r="E767" s="13" t="str">
        <f>VLOOKUP(D:D,工作表2!A:B,2,0)</f>
        <v>邦善</v>
      </c>
      <c r="F767" s="13" t="str">
        <f>VLOOKUP(D:D,工作表2!A:C,3,0)</f>
        <v>紅</v>
      </c>
      <c r="G767" s="17">
        <v>10316460</v>
      </c>
      <c r="H767" s="17" t="s">
        <v>596</v>
      </c>
      <c r="I767" s="18" t="s">
        <v>604</v>
      </c>
      <c r="J767" s="15">
        <v>280</v>
      </c>
      <c r="K767" s="15">
        <v>18</v>
      </c>
      <c r="L767" s="20">
        <f t="shared" si="115"/>
        <v>6.4285714285714279E-2</v>
      </c>
      <c r="M767" s="12">
        <v>13</v>
      </c>
      <c r="N767" s="12">
        <v>5</v>
      </c>
      <c r="Q767" s="23"/>
    </row>
    <row r="768" spans="1:17">
      <c r="A768" s="25">
        <v>46119</v>
      </c>
      <c r="B768" s="29">
        <v>0.61527777777777781</v>
      </c>
      <c r="C768" s="19">
        <v>46122</v>
      </c>
      <c r="D768" s="24" t="str">
        <f t="shared" si="114"/>
        <v>QFA</v>
      </c>
      <c r="E768" s="13" t="str">
        <f>VLOOKUP(D:D,工作表2!A:B,2,0)</f>
        <v>邦善</v>
      </c>
      <c r="F768" s="13" t="str">
        <f>VLOOKUP(D:D,工作表2!A:C,3,0)</f>
        <v>灰</v>
      </c>
      <c r="G768" s="17">
        <v>10316459</v>
      </c>
      <c r="H768" s="17" t="s">
        <v>630</v>
      </c>
      <c r="I768" s="18" t="s">
        <v>636</v>
      </c>
      <c r="J768" s="15">
        <v>480</v>
      </c>
      <c r="K768" s="15">
        <v>37</v>
      </c>
      <c r="L768" s="20">
        <f t="shared" si="115"/>
        <v>7.7083333333333337E-2</v>
      </c>
      <c r="M768" s="12">
        <v>30</v>
      </c>
      <c r="N768" s="12">
        <v>7</v>
      </c>
      <c r="Q768" s="23"/>
    </row>
    <row r="769" spans="1:18">
      <c r="A769" s="25">
        <v>46119</v>
      </c>
      <c r="B769" s="29">
        <v>0.63055555555555554</v>
      </c>
      <c r="C769" s="19">
        <v>46122</v>
      </c>
      <c r="D769" s="24" t="str">
        <f t="shared" si="114"/>
        <v>QFA</v>
      </c>
      <c r="E769" s="13" t="str">
        <f>VLOOKUP(D:D,工作表2!A:B,2,0)</f>
        <v>邦善</v>
      </c>
      <c r="F769" s="13" t="str">
        <f>VLOOKUP(D:D,工作表2!A:C,3,0)</f>
        <v>灰</v>
      </c>
      <c r="G769" s="17">
        <v>10316461</v>
      </c>
      <c r="H769" s="17" t="s">
        <v>752</v>
      </c>
      <c r="I769" s="18" t="s">
        <v>755</v>
      </c>
      <c r="J769" s="15">
        <v>520</v>
      </c>
      <c r="K769" s="15">
        <v>34</v>
      </c>
      <c r="L769" s="20">
        <f t="shared" si="115"/>
        <v>6.5384615384615388E-2</v>
      </c>
      <c r="M769" s="12">
        <v>30</v>
      </c>
      <c r="N769" s="12">
        <v>4</v>
      </c>
      <c r="Q769" s="23"/>
    </row>
    <row r="770" spans="1:18">
      <c r="A770" s="25">
        <v>46120</v>
      </c>
      <c r="B770" s="29">
        <v>0.47152777777777777</v>
      </c>
      <c r="C770" s="19">
        <v>46122</v>
      </c>
      <c r="D770" s="24" t="str">
        <f t="shared" si="114"/>
        <v>NBB</v>
      </c>
      <c r="E770" s="13" t="str">
        <f>VLOOKUP(D:D,工作表2!A:B,2,0)</f>
        <v>邦善</v>
      </c>
      <c r="F770" s="13" t="str">
        <f>VLOOKUP(D:D,工作表2!A:C,3,0)</f>
        <v>霧面黑</v>
      </c>
      <c r="G770" s="17">
        <v>10316463</v>
      </c>
      <c r="H770" s="17" t="s">
        <v>666</v>
      </c>
      <c r="I770" s="18" t="s">
        <v>670</v>
      </c>
      <c r="J770" s="15">
        <v>240</v>
      </c>
      <c r="K770" s="15">
        <v>5</v>
      </c>
      <c r="L770" s="20">
        <f t="shared" si="115"/>
        <v>2.0833333333333332E-2</v>
      </c>
      <c r="M770" s="12">
        <v>5</v>
      </c>
      <c r="P770" s="32" t="s">
        <v>977</v>
      </c>
      <c r="Q770" s="23" t="str">
        <f>VLOOKUP(H:H,'[1]雷雕處遮蔽&amp;艾仕得8844'!$A:$C,3,0)</f>
        <v>L</v>
      </c>
    </row>
    <row r="771" spans="1:18">
      <c r="A771" s="25">
        <v>46120</v>
      </c>
      <c r="B771" s="29">
        <v>0.47569444444444442</v>
      </c>
      <c r="C771" s="19">
        <v>46122</v>
      </c>
      <c r="D771" s="24" t="str">
        <f t="shared" si="114"/>
        <v>NBB</v>
      </c>
      <c r="E771" s="13" t="str">
        <f>VLOOKUP(D:D,工作表2!A:B,2,0)</f>
        <v>邦善</v>
      </c>
      <c r="F771" s="13" t="str">
        <f>VLOOKUP(D:D,工作表2!A:C,3,0)</f>
        <v>霧面黑</v>
      </c>
      <c r="G771" s="17">
        <v>10316464</v>
      </c>
      <c r="H771" s="17" t="s">
        <v>776</v>
      </c>
      <c r="I771" s="18" t="s">
        <v>781</v>
      </c>
      <c r="J771" s="15">
        <v>240</v>
      </c>
      <c r="K771" s="15">
        <v>4</v>
      </c>
      <c r="L771" s="20">
        <f t="shared" si="115"/>
        <v>1.6666666666666666E-2</v>
      </c>
      <c r="M771" s="12">
        <v>4</v>
      </c>
      <c r="P771" s="32" t="s">
        <v>977</v>
      </c>
      <c r="Q771" s="23" t="str">
        <f>VLOOKUP(H:H,'[1]雷雕處遮蔽&amp;艾仕得8844'!$A:$C,3,0)</f>
        <v>R</v>
      </c>
    </row>
    <row r="772" spans="1:18">
      <c r="A772" s="25">
        <v>46120</v>
      </c>
      <c r="B772" s="29">
        <v>0.5493055555555556</v>
      </c>
      <c r="C772" s="19">
        <v>46122</v>
      </c>
      <c r="D772" s="24" t="str">
        <f t="shared" si="114"/>
        <v>Q9B</v>
      </c>
      <c r="E772" s="13" t="str">
        <f>VLOOKUP(D:D,工作表2!A:B,2,0)</f>
        <v>邦善</v>
      </c>
      <c r="F772" s="13" t="str">
        <f>VLOOKUP(D:D,工作表2!A:C,3,0)</f>
        <v>黑</v>
      </c>
      <c r="G772" s="17">
        <v>10316467</v>
      </c>
      <c r="H772" s="17" t="s">
        <v>730</v>
      </c>
      <c r="I772" s="18" t="s">
        <v>737</v>
      </c>
      <c r="J772" s="15">
        <v>320</v>
      </c>
      <c r="K772" s="15">
        <v>26</v>
      </c>
      <c r="L772" s="20">
        <f t="shared" si="115"/>
        <v>8.1250000000000003E-2</v>
      </c>
      <c r="M772" s="12">
        <v>21</v>
      </c>
      <c r="N772" s="12">
        <v>5</v>
      </c>
      <c r="Q772" s="23" t="str">
        <f>VLOOKUP(H:H,'[1]雷雕處遮蔽&amp;艾仕得8844'!$A:$C,3,0)</f>
        <v>R</v>
      </c>
    </row>
    <row r="773" spans="1:18">
      <c r="A773" s="25">
        <v>46120</v>
      </c>
      <c r="B773" s="29">
        <v>0.53611111111111109</v>
      </c>
      <c r="C773" s="19">
        <v>46122</v>
      </c>
      <c r="D773" s="24" t="str">
        <f t="shared" si="114"/>
        <v>Q9B</v>
      </c>
      <c r="E773" s="13" t="str">
        <f>VLOOKUP(D:D,工作表2!A:B,2,0)</f>
        <v>邦善</v>
      </c>
      <c r="F773" s="13" t="str">
        <f>VLOOKUP(D:D,工作表2!A:C,3,0)</f>
        <v>黑</v>
      </c>
      <c r="G773" s="17">
        <v>10316466</v>
      </c>
      <c r="H773" s="17" t="s">
        <v>631</v>
      </c>
      <c r="I773" s="18" t="s">
        <v>637</v>
      </c>
      <c r="J773" s="15">
        <v>360</v>
      </c>
      <c r="K773" s="15">
        <v>48</v>
      </c>
      <c r="L773" s="20">
        <f t="shared" si="115"/>
        <v>0.13333333333333333</v>
      </c>
      <c r="M773" s="12">
        <v>38</v>
      </c>
      <c r="N773" s="12">
        <v>10</v>
      </c>
      <c r="Q773" s="23" t="str">
        <f>VLOOKUP(H:H,'[1]雷雕處遮蔽&amp;艾仕得8844'!$A:$C,3,0)</f>
        <v>L</v>
      </c>
    </row>
    <row r="774" spans="1:18">
      <c r="A774" s="25">
        <v>46120</v>
      </c>
      <c r="B774" s="29">
        <v>0.5625</v>
      </c>
      <c r="C774" s="19">
        <v>46122</v>
      </c>
      <c r="D774" s="24" t="str">
        <f t="shared" si="114"/>
        <v>Q9B</v>
      </c>
      <c r="E774" s="13" t="str">
        <f>VLOOKUP(D:D,工作表2!A:B,2,0)</f>
        <v>邦善</v>
      </c>
      <c r="F774" s="13" t="str">
        <f>VLOOKUP(D:D,工作表2!A:C,3,0)</f>
        <v>黑</v>
      </c>
      <c r="G774" s="17">
        <v>10316469</v>
      </c>
      <c r="H774" s="17" t="s">
        <v>783</v>
      </c>
      <c r="I774" s="18" t="s">
        <v>785</v>
      </c>
      <c r="J774" s="15">
        <v>520</v>
      </c>
      <c r="K774" s="15">
        <v>51</v>
      </c>
      <c r="L774" s="20">
        <f t="shared" si="115"/>
        <v>9.8076923076923075E-2</v>
      </c>
      <c r="M774" s="12">
        <v>47</v>
      </c>
      <c r="P774" s="32" t="s">
        <v>1023</v>
      </c>
      <c r="Q774" s="23" t="str">
        <f>VLOOKUP(H:H,'[1]雷雕處遮蔽&amp;艾仕得8844'!$A:$C,3,0)</f>
        <v>R</v>
      </c>
      <c r="R774" s="15">
        <v>4</v>
      </c>
    </row>
    <row r="775" spans="1:18">
      <c r="A775" s="25">
        <v>46120</v>
      </c>
      <c r="B775" s="29">
        <v>0.57430555555555551</v>
      </c>
      <c r="C775" s="19">
        <v>46122</v>
      </c>
      <c r="D775" s="24" t="str">
        <f t="shared" si="114"/>
        <v>Q9B</v>
      </c>
      <c r="E775" s="13" t="str">
        <f>VLOOKUP(D:D,工作表2!A:B,2,0)</f>
        <v>邦善</v>
      </c>
      <c r="F775" s="13" t="str">
        <f>VLOOKUP(D:D,工作表2!A:C,3,0)</f>
        <v>黑</v>
      </c>
      <c r="G775" s="17">
        <v>10316471</v>
      </c>
      <c r="H775" s="17" t="s">
        <v>816</v>
      </c>
      <c r="I775" s="18" t="s">
        <v>825</v>
      </c>
      <c r="J775" s="15">
        <v>440</v>
      </c>
      <c r="K775" s="15">
        <v>54</v>
      </c>
      <c r="L775" s="20">
        <f t="shared" si="115"/>
        <v>0.12272727272727273</v>
      </c>
      <c r="M775" s="12">
        <v>41</v>
      </c>
      <c r="N775" s="12">
        <v>13</v>
      </c>
      <c r="Q775" s="23" t="str">
        <f>VLOOKUP(H:H,'[1]雷雕處遮蔽&amp;艾仕得8844'!$A:$C,3,0)</f>
        <v>R</v>
      </c>
    </row>
    <row r="776" spans="1:18">
      <c r="A776" s="25">
        <v>46120</v>
      </c>
      <c r="B776" s="29">
        <v>0.58333333333333337</v>
      </c>
      <c r="C776" s="19">
        <v>46122</v>
      </c>
      <c r="D776" s="24" t="str">
        <f t="shared" si="114"/>
        <v>Q9B</v>
      </c>
      <c r="E776" s="13" t="str">
        <f>VLOOKUP(D:D,工作表2!A:B,2,0)</f>
        <v>邦善</v>
      </c>
      <c r="F776" s="13" t="str">
        <f>VLOOKUP(D:D,工作表2!A:C,3,0)</f>
        <v>黑</v>
      </c>
      <c r="G776" s="17">
        <v>10316470</v>
      </c>
      <c r="H776" s="17" t="s">
        <v>513</v>
      </c>
      <c r="I776" s="18" t="s">
        <v>525</v>
      </c>
      <c r="J776" s="15">
        <v>480</v>
      </c>
      <c r="K776" s="15">
        <v>70</v>
      </c>
      <c r="L776" s="20">
        <f t="shared" si="115"/>
        <v>0.14583333333333334</v>
      </c>
      <c r="M776" s="12">
        <v>50</v>
      </c>
      <c r="N776" s="12">
        <v>20</v>
      </c>
      <c r="Q776" s="23" t="str">
        <f>VLOOKUP(H:H,'[1]雷雕處遮蔽&amp;艾仕得8844'!$A:$C,3,0)</f>
        <v>L</v>
      </c>
    </row>
    <row r="777" spans="1:18">
      <c r="A777" s="25">
        <v>46120</v>
      </c>
      <c r="B777" s="29">
        <v>0.60902777777777783</v>
      </c>
      <c r="C777" s="11">
        <v>46125</v>
      </c>
      <c r="D777" s="24" t="str">
        <f t="shared" ref="D777:D792" si="116">RIGHT(I777,3)</f>
        <v>HTW</v>
      </c>
      <c r="E777" s="13" t="str">
        <f>VLOOKUP(D:D,工作表2!A:B,2,0)</f>
        <v>邦善</v>
      </c>
      <c r="F777" s="13" t="str">
        <f>VLOOKUP(D:D,工作表2!A:C,3,0)</f>
        <v>白</v>
      </c>
      <c r="G777" s="17">
        <v>10321885</v>
      </c>
      <c r="H777" s="17" t="s">
        <v>773</v>
      </c>
      <c r="I777" s="18" t="s">
        <v>778</v>
      </c>
      <c r="J777" s="15">
        <v>30</v>
      </c>
      <c r="K777" s="15">
        <v>12</v>
      </c>
      <c r="L777" s="20">
        <f t="shared" ref="L777:L792" si="117">K777/J777</f>
        <v>0.4</v>
      </c>
      <c r="M777" s="12">
        <v>8</v>
      </c>
      <c r="N777" s="12">
        <v>4</v>
      </c>
      <c r="Q777" s="23"/>
    </row>
    <row r="778" spans="1:18">
      <c r="A778" s="25">
        <v>46120</v>
      </c>
      <c r="B778" s="29">
        <v>0.61388888888888882</v>
      </c>
      <c r="C778" s="19">
        <v>46125</v>
      </c>
      <c r="D778" s="24" t="str">
        <f t="shared" si="116"/>
        <v>HUR</v>
      </c>
      <c r="E778" s="13" t="str">
        <f>VLOOKUP(D:D,工作表2!A:B,2,0)</f>
        <v>建榮</v>
      </c>
      <c r="F778" s="13" t="str">
        <f>VLOOKUP(D:D,工作表2!A:C,3,0)</f>
        <v>紅</v>
      </c>
      <c r="G778" s="17">
        <v>10323105</v>
      </c>
      <c r="H778" s="17" t="s">
        <v>1024</v>
      </c>
      <c r="I778" s="18" t="s">
        <v>1026</v>
      </c>
      <c r="J778" s="15">
        <v>80</v>
      </c>
      <c r="K778" s="15">
        <v>13</v>
      </c>
      <c r="L778" s="20">
        <f t="shared" si="117"/>
        <v>0.16250000000000001</v>
      </c>
      <c r="M778" s="12">
        <v>11</v>
      </c>
      <c r="N778" s="12">
        <v>2</v>
      </c>
      <c r="Q778" s="23"/>
    </row>
    <row r="779" spans="1:18">
      <c r="A779" s="25">
        <v>46120</v>
      </c>
      <c r="B779" s="29">
        <v>0.6069444444444444</v>
      </c>
      <c r="C779" s="19">
        <v>46125</v>
      </c>
      <c r="D779" s="24" t="str">
        <f t="shared" si="116"/>
        <v>JDL</v>
      </c>
      <c r="E779" s="13" t="str">
        <f>VLOOKUP(D:D,工作表2!A:B,2,0)</f>
        <v>邦善</v>
      </c>
      <c r="F779" s="13" t="str">
        <f>VLOOKUP(D:D,工作表2!A:C,3,0)</f>
        <v>藍</v>
      </c>
      <c r="G779" s="17">
        <v>10323106</v>
      </c>
      <c r="H779" s="17" t="s">
        <v>1025</v>
      </c>
      <c r="I779" s="18" t="s">
        <v>1027</v>
      </c>
      <c r="J779" s="15">
        <v>40</v>
      </c>
      <c r="K779" s="15">
        <v>1</v>
      </c>
      <c r="L779" s="20">
        <f t="shared" si="117"/>
        <v>2.5000000000000001E-2</v>
      </c>
      <c r="M779" s="12">
        <v>1</v>
      </c>
      <c r="Q779" s="23"/>
    </row>
    <row r="780" spans="1:18">
      <c r="A780" s="25">
        <v>46120</v>
      </c>
      <c r="B780" s="29">
        <v>0.61458333333333337</v>
      </c>
      <c r="C780" s="19">
        <v>46125</v>
      </c>
      <c r="D780" s="24" t="str">
        <f t="shared" si="116"/>
        <v>LWB</v>
      </c>
      <c r="E780" s="13" t="str">
        <f>VLOOKUP(D:D,工作表2!A:B,2,0)</f>
        <v>建榮</v>
      </c>
      <c r="F780" s="13" t="str">
        <f>VLOOKUP(D:D,工作表2!A:C,3,0)</f>
        <v>霧面黑</v>
      </c>
      <c r="G780" s="17">
        <v>10321525</v>
      </c>
      <c r="H780" s="17" t="s">
        <v>766</v>
      </c>
      <c r="I780" s="18" t="s">
        <v>769</v>
      </c>
      <c r="J780" s="15">
        <v>80</v>
      </c>
      <c r="K780" s="15">
        <v>1</v>
      </c>
      <c r="L780" s="20">
        <f t="shared" si="117"/>
        <v>1.2500000000000001E-2</v>
      </c>
      <c r="M780" s="12">
        <v>1</v>
      </c>
      <c r="Q780" s="23"/>
    </row>
    <row r="781" spans="1:18">
      <c r="A781" s="25">
        <v>46120</v>
      </c>
      <c r="B781" s="29">
        <v>0.60763888888888895</v>
      </c>
      <c r="C781" s="19">
        <v>46125</v>
      </c>
      <c r="D781" s="24" t="str">
        <f t="shared" si="116"/>
        <v>M2W</v>
      </c>
      <c r="E781" s="13" t="str">
        <f>VLOOKUP(D:D,工作表2!A:B,2,0)</f>
        <v>邦善</v>
      </c>
      <c r="F781" s="13" t="str">
        <f>VLOOKUP(D:D,工作表2!A:C,3,0)</f>
        <v>白</v>
      </c>
      <c r="G781" s="17">
        <v>10323107</v>
      </c>
      <c r="H781" s="17" t="s">
        <v>651</v>
      </c>
      <c r="I781" s="18" t="s">
        <v>661</v>
      </c>
      <c r="J781" s="15">
        <v>80</v>
      </c>
      <c r="K781" s="15">
        <v>8</v>
      </c>
      <c r="L781" s="20">
        <f t="shared" si="117"/>
        <v>0.1</v>
      </c>
      <c r="M781" s="12">
        <v>5</v>
      </c>
      <c r="N781" s="12">
        <v>3</v>
      </c>
      <c r="Q781" s="23"/>
    </row>
    <row r="782" spans="1:18">
      <c r="A782" s="25">
        <v>46120</v>
      </c>
      <c r="B782" s="29">
        <v>0.60972222222222217</v>
      </c>
      <c r="C782" s="19">
        <v>46125</v>
      </c>
      <c r="D782" s="24" t="str">
        <f t="shared" si="116"/>
        <v>MHA</v>
      </c>
      <c r="E782" s="13" t="str">
        <f>VLOOKUP(D:D,工作表2!A:B,2,0)</f>
        <v>邦善</v>
      </c>
      <c r="F782" s="13" t="str">
        <f>VLOOKUP(D:D,工作表2!A:C,3,0)</f>
        <v>灰</v>
      </c>
      <c r="G782" s="17">
        <v>10323108</v>
      </c>
      <c r="H782" s="17" t="s">
        <v>942</v>
      </c>
      <c r="I782" s="18" t="s">
        <v>948</v>
      </c>
      <c r="J782" s="15">
        <v>30</v>
      </c>
      <c r="K782" s="15">
        <v>2</v>
      </c>
      <c r="L782" s="20">
        <f t="shared" si="117"/>
        <v>6.6666666666666666E-2</v>
      </c>
      <c r="M782" s="12">
        <v>2</v>
      </c>
      <c r="Q782" s="23"/>
    </row>
    <row r="783" spans="1:18">
      <c r="A783" s="25">
        <v>46120</v>
      </c>
      <c r="B783" s="29">
        <v>0.61597222222222225</v>
      </c>
      <c r="C783" s="19">
        <v>46125</v>
      </c>
      <c r="D783" s="24" t="str">
        <f t="shared" si="116"/>
        <v>VEA</v>
      </c>
      <c r="E783" s="13" t="str">
        <f>VLOOKUP(D:D,工作表2!A:B,2,0)</f>
        <v>敦陽</v>
      </c>
      <c r="F783" s="13" t="str">
        <f>VLOOKUP(D:D,工作表2!A:C,3,0)</f>
        <v>灰</v>
      </c>
      <c r="G783" s="17">
        <v>10320005</v>
      </c>
      <c r="H783" s="17" t="s">
        <v>788</v>
      </c>
      <c r="I783" s="18" t="s">
        <v>794</v>
      </c>
      <c r="J783" s="15">
        <v>400</v>
      </c>
      <c r="K783" s="15">
        <v>40</v>
      </c>
      <c r="L783" s="20">
        <f t="shared" si="117"/>
        <v>0.1</v>
      </c>
      <c r="M783" s="12">
        <v>30</v>
      </c>
      <c r="N783" s="12">
        <v>10</v>
      </c>
      <c r="Q783" s="23"/>
    </row>
    <row r="784" spans="1:18">
      <c r="A784" s="25">
        <v>46122</v>
      </c>
      <c r="C784" s="19">
        <v>46125</v>
      </c>
      <c r="D784" s="24" t="str">
        <f t="shared" si="116"/>
        <v>QRB</v>
      </c>
      <c r="E784" s="13" t="str">
        <f>VLOOKUP(D:D,工作表2!A:B,2,0)</f>
        <v>邦善</v>
      </c>
      <c r="F784" s="13" t="str">
        <f>VLOOKUP(D:D,工作表2!A:C,3,0)</f>
        <v>霧面黑</v>
      </c>
      <c r="G784" s="17">
        <v>10321921</v>
      </c>
      <c r="H784" s="17" t="s">
        <v>170</v>
      </c>
      <c r="I784" s="18" t="s">
        <v>171</v>
      </c>
      <c r="J784" s="15">
        <v>10640</v>
      </c>
      <c r="K784" s="15">
        <v>374</v>
      </c>
      <c r="L784" s="20">
        <f t="shared" si="117"/>
        <v>3.5150375939849626E-2</v>
      </c>
      <c r="M784" s="12">
        <v>318</v>
      </c>
      <c r="N784" s="12">
        <v>52</v>
      </c>
      <c r="O784" s="15">
        <v>4</v>
      </c>
      <c r="Q784" s="23"/>
    </row>
    <row r="785" spans="1:17">
      <c r="A785" s="25">
        <v>46120</v>
      </c>
      <c r="B785" s="29">
        <v>0.60833333333333328</v>
      </c>
      <c r="C785" s="19">
        <v>46125</v>
      </c>
      <c r="D785" s="24" t="str">
        <f t="shared" si="116"/>
        <v>WRS</v>
      </c>
      <c r="E785" s="13" t="str">
        <f>VLOOKUP(D:D,工作表2!A:B,2,0)</f>
        <v>邦善</v>
      </c>
      <c r="F785" s="13" t="str">
        <f>VLOOKUP(D:D,工作表2!A:C,3,0)</f>
        <v>銀</v>
      </c>
      <c r="G785" s="17">
        <v>10325192</v>
      </c>
      <c r="H785" s="17" t="s">
        <v>645</v>
      </c>
      <c r="I785" s="18" t="s">
        <v>655</v>
      </c>
      <c r="J785" s="15">
        <v>240</v>
      </c>
      <c r="K785" s="15">
        <v>15</v>
      </c>
      <c r="L785" s="20">
        <f t="shared" si="117"/>
        <v>6.25E-2</v>
      </c>
      <c r="M785" s="12">
        <v>12</v>
      </c>
      <c r="N785" s="12">
        <v>3</v>
      </c>
      <c r="Q785" s="23"/>
    </row>
    <row r="786" spans="1:17">
      <c r="A786" s="25">
        <v>46121</v>
      </c>
      <c r="B786" s="29">
        <v>0.47847222222222219</v>
      </c>
      <c r="C786" s="19">
        <v>46125</v>
      </c>
      <c r="D786" s="24" t="str">
        <f t="shared" si="116"/>
        <v>NGW</v>
      </c>
      <c r="E786" s="13" t="str">
        <f>VLOOKUP(D:D,工作表2!A:B,2,0)</f>
        <v>邦善</v>
      </c>
      <c r="F786" s="13" t="str">
        <f>VLOOKUP(D:D,工作表2!A:C,3,0)</f>
        <v>白</v>
      </c>
      <c r="G786" s="17">
        <v>10316449</v>
      </c>
      <c r="H786" s="17" t="s">
        <v>469</v>
      </c>
      <c r="I786" s="18" t="s">
        <v>446</v>
      </c>
      <c r="J786" s="15">
        <v>400</v>
      </c>
      <c r="K786" s="15">
        <v>41</v>
      </c>
      <c r="L786" s="20">
        <f t="shared" si="117"/>
        <v>0.10249999999999999</v>
      </c>
      <c r="M786" s="12">
        <v>38</v>
      </c>
      <c r="N786" s="12">
        <v>3</v>
      </c>
      <c r="Q786" s="23" t="str">
        <f>VLOOKUP(H:H,'[1]雷雕處遮蔽&amp;艾仕得8844'!$A:$C,3,0)</f>
        <v>L</v>
      </c>
    </row>
    <row r="787" spans="1:17">
      <c r="A787" s="25">
        <v>46121</v>
      </c>
      <c r="B787" s="29">
        <v>0.53402777777777777</v>
      </c>
      <c r="C787" s="19">
        <v>46125</v>
      </c>
      <c r="D787" s="24" t="str">
        <f t="shared" si="116"/>
        <v>NGW</v>
      </c>
      <c r="E787" s="13" t="str">
        <f>VLOOKUP(D:D,工作表2!A:B,2,0)</f>
        <v>邦善</v>
      </c>
      <c r="F787" s="13" t="str">
        <f>VLOOKUP(D:D,工作表2!A:C,3,0)</f>
        <v>白</v>
      </c>
      <c r="G787" s="17">
        <v>10316473</v>
      </c>
      <c r="H787" s="17" t="s">
        <v>425</v>
      </c>
      <c r="I787" s="18" t="s">
        <v>430</v>
      </c>
      <c r="J787" s="15">
        <v>520</v>
      </c>
      <c r="K787" s="15">
        <v>38</v>
      </c>
      <c r="L787" s="20">
        <f t="shared" si="117"/>
        <v>7.3076923076923081E-2</v>
      </c>
      <c r="M787" s="12">
        <v>31</v>
      </c>
      <c r="N787" s="12">
        <v>7</v>
      </c>
      <c r="Q787" s="23" t="str">
        <f>VLOOKUP(H:H,'[1]雷雕處遮蔽&amp;艾仕得8844'!$A:$C,3,0)</f>
        <v>L</v>
      </c>
    </row>
    <row r="788" spans="1:17">
      <c r="A788" s="25">
        <v>46121</v>
      </c>
      <c r="B788" s="29">
        <v>0.52986111111111112</v>
      </c>
      <c r="C788" s="19">
        <v>46125</v>
      </c>
      <c r="D788" s="24" t="str">
        <f t="shared" si="116"/>
        <v>NGW</v>
      </c>
      <c r="E788" s="13" t="str">
        <f>VLOOKUP(D:D,工作表2!A:B,2,0)</f>
        <v>邦善</v>
      </c>
      <c r="F788" s="13" t="str">
        <f>VLOOKUP(D:D,工作表2!A:C,3,0)</f>
        <v>白</v>
      </c>
      <c r="G788" s="17">
        <v>10316474</v>
      </c>
      <c r="H788" s="17" t="s">
        <v>561</v>
      </c>
      <c r="I788" s="18" t="s">
        <v>569</v>
      </c>
      <c r="J788" s="15">
        <v>200</v>
      </c>
      <c r="K788" s="15">
        <v>27</v>
      </c>
      <c r="L788" s="20">
        <f t="shared" si="117"/>
        <v>0.13500000000000001</v>
      </c>
      <c r="M788" s="12">
        <v>23</v>
      </c>
      <c r="N788" s="12">
        <v>4</v>
      </c>
      <c r="Q788" s="23" t="str">
        <f>VLOOKUP(H:H,'[1]雷雕處遮蔽&amp;艾仕得8844'!$A:$C,3,0)</f>
        <v>R</v>
      </c>
    </row>
    <row r="789" spans="1:17">
      <c r="A789" s="25">
        <v>46121</v>
      </c>
      <c r="B789" s="29">
        <v>0.57500000000000007</v>
      </c>
      <c r="C789" s="19">
        <v>46125</v>
      </c>
      <c r="D789" s="24" t="str">
        <f t="shared" si="116"/>
        <v>NGW</v>
      </c>
      <c r="E789" s="13" t="str">
        <f>VLOOKUP(D:D,工作表2!A:B,2,0)</f>
        <v>邦善</v>
      </c>
      <c r="F789" s="13" t="str">
        <f>VLOOKUP(D:D,工作表2!A:C,3,0)</f>
        <v>白</v>
      </c>
      <c r="G789" s="17">
        <v>10321030</v>
      </c>
      <c r="H789" s="17" t="s">
        <v>377</v>
      </c>
      <c r="I789" s="18" t="s">
        <v>381</v>
      </c>
      <c r="J789" s="15">
        <v>480</v>
      </c>
      <c r="K789" s="15">
        <v>22</v>
      </c>
      <c r="L789" s="20">
        <f t="shared" si="117"/>
        <v>4.583333333333333E-2</v>
      </c>
      <c r="M789" s="12">
        <v>17</v>
      </c>
      <c r="N789" s="12">
        <v>5</v>
      </c>
      <c r="Q789" s="23"/>
    </row>
    <row r="790" spans="1:17">
      <c r="A790" s="25">
        <v>46120</v>
      </c>
      <c r="C790" s="19">
        <v>46125</v>
      </c>
      <c r="D790" s="24" t="str">
        <f t="shared" si="116"/>
        <v>NRR</v>
      </c>
      <c r="E790" s="13" t="str">
        <f>VLOOKUP(D:D,工作表2!A:B,2,0)</f>
        <v>邦善</v>
      </c>
      <c r="F790" s="13" t="str">
        <f>VLOOKUP(D:D,工作表2!A:C,3,0)</f>
        <v>紅</v>
      </c>
      <c r="G790" s="17">
        <v>10321031</v>
      </c>
      <c r="H790" s="17" t="s">
        <v>590</v>
      </c>
      <c r="I790" s="18" t="s">
        <v>598</v>
      </c>
      <c r="J790" s="15">
        <v>280</v>
      </c>
      <c r="K790" s="15">
        <v>9</v>
      </c>
      <c r="L790" s="20">
        <f t="shared" si="117"/>
        <v>3.214285714285714E-2</v>
      </c>
      <c r="M790" s="12">
        <v>7</v>
      </c>
      <c r="N790" s="12">
        <v>2</v>
      </c>
      <c r="Q790" s="23"/>
    </row>
    <row r="791" spans="1:17">
      <c r="A791" s="25">
        <v>46121</v>
      </c>
      <c r="B791" s="29">
        <v>0.56180555555555556</v>
      </c>
      <c r="C791" s="19">
        <v>46125</v>
      </c>
      <c r="D791" s="24" t="str">
        <f t="shared" si="116"/>
        <v>NGW</v>
      </c>
      <c r="E791" s="13" t="str">
        <f>VLOOKUP(D:D,工作表2!A:B,2,0)</f>
        <v>邦善</v>
      </c>
      <c r="F791" s="13" t="str">
        <f>VLOOKUP(D:D,工作表2!A:C,3,0)</f>
        <v>白</v>
      </c>
      <c r="G791" s="17">
        <v>10316454</v>
      </c>
      <c r="H791" s="17" t="s">
        <v>382</v>
      </c>
      <c r="I791" s="18" t="s">
        <v>387</v>
      </c>
      <c r="J791" s="15">
        <v>520</v>
      </c>
      <c r="K791" s="15">
        <v>33</v>
      </c>
      <c r="L791" s="20">
        <f t="shared" si="117"/>
        <v>6.3461538461538458E-2</v>
      </c>
      <c r="M791" s="12">
        <v>28</v>
      </c>
      <c r="N791" s="12">
        <v>5</v>
      </c>
      <c r="Q791" s="23" t="str">
        <f>VLOOKUP(H:H,'[1]雷雕處遮蔽&amp;艾仕得8844'!$A:$C,3,0)</f>
        <v>R</v>
      </c>
    </row>
    <row r="792" spans="1:17">
      <c r="A792" s="25">
        <v>46121</v>
      </c>
      <c r="B792" s="29">
        <v>0.58819444444444446</v>
      </c>
      <c r="C792" s="19">
        <v>46125</v>
      </c>
      <c r="D792" s="24" t="str">
        <f t="shared" si="116"/>
        <v>NGW</v>
      </c>
      <c r="E792" s="13" t="str">
        <f>VLOOKUP(D:D,工作表2!A:B,2,0)</f>
        <v>邦善</v>
      </c>
      <c r="F792" s="13" t="str">
        <f>VLOOKUP(D:D,工作表2!A:C,3,0)</f>
        <v>白</v>
      </c>
      <c r="G792" s="17">
        <v>10316475</v>
      </c>
      <c r="H792" s="17" t="s">
        <v>386</v>
      </c>
      <c r="I792" s="18" t="s">
        <v>391</v>
      </c>
      <c r="J792" s="15">
        <v>560</v>
      </c>
      <c r="K792" s="15">
        <v>17</v>
      </c>
      <c r="L792" s="20">
        <f t="shared" si="117"/>
        <v>3.0357142857142857E-2</v>
      </c>
      <c r="M792" s="12">
        <v>12</v>
      </c>
      <c r="N792" s="12">
        <v>5</v>
      </c>
      <c r="Q792" s="23"/>
    </row>
    <row r="793" spans="1:17">
      <c r="A793" s="25">
        <v>46125</v>
      </c>
      <c r="B793" s="29">
        <v>0.52500000000000002</v>
      </c>
      <c r="C793" s="11">
        <v>46126</v>
      </c>
      <c r="D793" s="24" t="str">
        <f t="shared" ref="D793:D809" si="118">RIGHT(I793,3)</f>
        <v>HLL</v>
      </c>
      <c r="E793" s="13" t="str">
        <f>VLOOKUP(D:D,工作表2!A:B,2,0)</f>
        <v>邦善</v>
      </c>
      <c r="F793" s="13" t="str">
        <f>VLOOKUP(D:D,工作表2!A:C,3,0)</f>
        <v>藍</v>
      </c>
      <c r="G793" s="17">
        <v>10323110</v>
      </c>
      <c r="H793" s="17" t="s">
        <v>819</v>
      </c>
      <c r="I793" s="18" t="s">
        <v>828</v>
      </c>
      <c r="J793" s="15">
        <v>40</v>
      </c>
      <c r="K793" s="15">
        <v>3</v>
      </c>
      <c r="L793" s="20">
        <f t="shared" ref="L793:L809" si="119">K793/J793</f>
        <v>7.4999999999999997E-2</v>
      </c>
      <c r="M793" s="12">
        <v>3</v>
      </c>
      <c r="P793" s="32" t="s">
        <v>1036</v>
      </c>
      <c r="Q793" s="23"/>
    </row>
    <row r="794" spans="1:17">
      <c r="A794" s="25">
        <v>46125</v>
      </c>
      <c r="B794" s="29">
        <v>0.52361111111111114</v>
      </c>
      <c r="C794" s="11">
        <v>46126</v>
      </c>
      <c r="D794" s="24" t="str">
        <f t="shared" si="118"/>
        <v>JGN</v>
      </c>
      <c r="E794" s="13" t="str">
        <f>VLOOKUP(D:D,工作表2!A:B,2,0)</f>
        <v>邦善</v>
      </c>
      <c r="F794" s="13" t="str">
        <f>VLOOKUP(D:D,工作表2!A:C,3,0)</f>
        <v>棕</v>
      </c>
      <c r="G794" s="17">
        <v>10323109</v>
      </c>
      <c r="H794" s="17" t="s">
        <v>1030</v>
      </c>
      <c r="I794" s="18" t="s">
        <v>1034</v>
      </c>
      <c r="J794" s="15">
        <v>40</v>
      </c>
      <c r="K794" s="15">
        <v>4</v>
      </c>
      <c r="L794" s="20">
        <f t="shared" si="119"/>
        <v>0.1</v>
      </c>
      <c r="M794" s="12">
        <v>4</v>
      </c>
      <c r="P794" s="32" t="s">
        <v>1036</v>
      </c>
      <c r="Q794" s="23"/>
    </row>
    <row r="795" spans="1:17">
      <c r="A795" s="25">
        <v>46125</v>
      </c>
      <c r="B795" s="29">
        <v>0.52847222222222223</v>
      </c>
      <c r="C795" s="19">
        <v>46126</v>
      </c>
      <c r="D795" s="24" t="str">
        <f t="shared" si="118"/>
        <v>KTW</v>
      </c>
      <c r="E795" s="13" t="str">
        <f>VLOOKUP(D:D,工作表2!A:B,2,0)</f>
        <v>邦善</v>
      </c>
      <c r="F795" s="13" t="str">
        <f>VLOOKUP(D:D,工作表2!A:C,3,0)</f>
        <v>白</v>
      </c>
      <c r="G795" s="17">
        <v>10323111</v>
      </c>
      <c r="H795" s="17" t="s">
        <v>713</v>
      </c>
      <c r="I795" s="18" t="s">
        <v>723</v>
      </c>
      <c r="J795" s="15">
        <v>160</v>
      </c>
      <c r="K795" s="15">
        <v>12</v>
      </c>
      <c r="L795" s="20">
        <f t="shared" si="119"/>
        <v>7.4999999999999997E-2</v>
      </c>
      <c r="M795" s="12">
        <v>10</v>
      </c>
      <c r="N795" s="12">
        <v>2</v>
      </c>
      <c r="P795" s="32" t="s">
        <v>1036</v>
      </c>
      <c r="Q795" s="23"/>
    </row>
    <row r="796" spans="1:17">
      <c r="A796" s="25">
        <v>46122</v>
      </c>
      <c r="B796" s="29">
        <v>0.53333333333333333</v>
      </c>
      <c r="C796" s="19">
        <v>46126</v>
      </c>
      <c r="D796" s="24" t="str">
        <f t="shared" si="118"/>
        <v>RLR</v>
      </c>
      <c r="E796" s="13" t="str">
        <f>VLOOKUP(D:D,工作表2!A:B,2,0)</f>
        <v>邦善</v>
      </c>
      <c r="F796" s="13" t="str">
        <f>VLOOKUP(D:D,工作表2!A:C,3,0)</f>
        <v>紅</v>
      </c>
      <c r="G796" s="17">
        <v>10327179</v>
      </c>
      <c r="H796" s="17" t="s">
        <v>1031</v>
      </c>
      <c r="I796" s="18" t="s">
        <v>1035</v>
      </c>
      <c r="J796" s="15">
        <v>380</v>
      </c>
      <c r="K796" s="15">
        <v>58</v>
      </c>
      <c r="L796" s="20">
        <f t="shared" si="119"/>
        <v>0.15263157894736842</v>
      </c>
      <c r="M796" s="12">
        <v>52</v>
      </c>
      <c r="N796" s="12">
        <v>6</v>
      </c>
      <c r="P796" s="32" t="s">
        <v>1036</v>
      </c>
      <c r="Q796" s="23"/>
    </row>
    <row r="797" spans="1:17">
      <c r="A797" s="25">
        <v>46125</v>
      </c>
      <c r="B797" s="29">
        <v>0.37847222222222227</v>
      </c>
      <c r="C797" s="19">
        <v>46126</v>
      </c>
      <c r="D797" s="24" t="str">
        <f t="shared" si="118"/>
        <v>QRB</v>
      </c>
      <c r="E797" s="13" t="str">
        <f>VLOOKUP(D:D,工作表2!A:B,2,0)</f>
        <v>邦善</v>
      </c>
      <c r="F797" s="13" t="str">
        <f>VLOOKUP(D:D,工作表2!A:C,3,0)</f>
        <v>霧面黑</v>
      </c>
      <c r="G797" s="17">
        <v>10321589</v>
      </c>
      <c r="H797" s="17" t="s">
        <v>170</v>
      </c>
      <c r="I797" s="18" t="s">
        <v>171</v>
      </c>
      <c r="J797" s="15">
        <v>26600</v>
      </c>
      <c r="K797" s="15">
        <v>800</v>
      </c>
      <c r="L797" s="20">
        <f t="shared" si="119"/>
        <v>3.007518796992481E-2</v>
      </c>
      <c r="M797" s="12">
        <v>705</v>
      </c>
      <c r="N797" s="12">
        <v>92</v>
      </c>
      <c r="O797" s="15">
        <v>3</v>
      </c>
      <c r="Q797" s="23"/>
    </row>
    <row r="798" spans="1:17">
      <c r="A798" s="25">
        <v>46125</v>
      </c>
      <c r="B798" s="29">
        <v>0.51458333333333328</v>
      </c>
      <c r="C798" s="19">
        <v>46126</v>
      </c>
      <c r="D798" s="24" t="str">
        <f t="shared" si="118"/>
        <v>QUW</v>
      </c>
      <c r="E798" s="13" t="str">
        <f>VLOOKUP(D:D,工作表2!A:B,2,0)</f>
        <v>邦善</v>
      </c>
      <c r="F798" s="13" t="str">
        <f>VLOOKUP(D:D,工作表2!A:C,3,0)</f>
        <v>白</v>
      </c>
      <c r="G798" s="17">
        <v>10326838</v>
      </c>
      <c r="H798" s="17" t="s">
        <v>634</v>
      </c>
      <c r="I798" s="18" t="s">
        <v>640</v>
      </c>
      <c r="J798" s="15">
        <v>532</v>
      </c>
      <c r="K798" s="15">
        <v>42</v>
      </c>
      <c r="L798" s="20">
        <f t="shared" si="119"/>
        <v>7.8947368421052627E-2</v>
      </c>
      <c r="M798" s="12">
        <v>30</v>
      </c>
      <c r="N798" s="12">
        <v>12</v>
      </c>
      <c r="Q798" s="23"/>
    </row>
    <row r="799" spans="1:17">
      <c r="A799" s="25">
        <v>46125</v>
      </c>
      <c r="B799" s="29">
        <v>0.47638888888888892</v>
      </c>
      <c r="C799" s="19">
        <v>46126</v>
      </c>
      <c r="D799" s="24" t="str">
        <f t="shared" si="118"/>
        <v>NBB</v>
      </c>
      <c r="E799" s="13" t="str">
        <f>VLOOKUP(D:D,工作表2!A:B,2,0)</f>
        <v>邦善</v>
      </c>
      <c r="F799" s="13" t="str">
        <f>VLOOKUP(D:D,工作表2!A:C,3,0)</f>
        <v>霧面黑</v>
      </c>
      <c r="G799" s="17">
        <v>10324900</v>
      </c>
      <c r="H799" s="17" t="s">
        <v>306</v>
      </c>
      <c r="I799" s="18" t="s">
        <v>307</v>
      </c>
      <c r="J799" s="15">
        <v>532</v>
      </c>
      <c r="K799" s="15">
        <v>4</v>
      </c>
      <c r="L799" s="20">
        <f t="shared" si="119"/>
        <v>7.5187969924812026E-3</v>
      </c>
      <c r="M799" s="12">
        <v>4</v>
      </c>
      <c r="Q799" s="23"/>
    </row>
    <row r="800" spans="1:17">
      <c r="A800" s="25">
        <v>46125</v>
      </c>
      <c r="B800" s="29">
        <v>0.52083333333333337</v>
      </c>
      <c r="C800" s="19">
        <v>46126</v>
      </c>
      <c r="D800" s="24" t="str">
        <f t="shared" si="118"/>
        <v>NXW</v>
      </c>
      <c r="E800" s="13" t="str">
        <f>VLOOKUP(D:D,工作表2!A:B,2,0)</f>
        <v>邦善</v>
      </c>
      <c r="F800" s="13" t="str">
        <f>VLOOKUP(D:D,工作表2!A:C,3,0)</f>
        <v>白</v>
      </c>
      <c r="G800" s="17">
        <v>10324901</v>
      </c>
      <c r="H800" s="17" t="s">
        <v>466</v>
      </c>
      <c r="I800" s="18" t="s">
        <v>467</v>
      </c>
      <c r="J800" s="15">
        <v>410</v>
      </c>
      <c r="K800" s="15">
        <v>10</v>
      </c>
      <c r="L800" s="20">
        <f t="shared" si="119"/>
        <v>2.4390243902439025E-2</v>
      </c>
      <c r="M800" s="12">
        <v>8</v>
      </c>
      <c r="N800" s="12">
        <v>2</v>
      </c>
      <c r="Q800" s="23"/>
    </row>
    <row r="801" spans="1:21">
      <c r="A801" s="25">
        <v>46125</v>
      </c>
      <c r="B801" s="29">
        <v>0.52083333333333337</v>
      </c>
      <c r="C801" s="19">
        <v>46126</v>
      </c>
      <c r="D801" s="24" t="str">
        <f t="shared" si="118"/>
        <v>PNN</v>
      </c>
      <c r="E801" s="13" t="str">
        <f>VLOOKUP(D:D,工作表2!A:B,2,0)</f>
        <v>邦善</v>
      </c>
      <c r="F801" s="13" t="str">
        <f>VLOOKUP(D:D,工作表2!A:C,3,0)</f>
        <v>棕</v>
      </c>
      <c r="G801" s="17">
        <v>10324902</v>
      </c>
      <c r="H801" s="17" t="s">
        <v>1029</v>
      </c>
      <c r="I801" s="18" t="s">
        <v>1033</v>
      </c>
      <c r="J801" s="15">
        <v>220</v>
      </c>
      <c r="K801" s="15">
        <v>11</v>
      </c>
      <c r="L801" s="20">
        <f t="shared" si="119"/>
        <v>0.05</v>
      </c>
      <c r="M801" s="12">
        <v>9</v>
      </c>
      <c r="N801" s="12">
        <v>2</v>
      </c>
      <c r="Q801" s="23"/>
    </row>
    <row r="802" spans="1:21">
      <c r="A802" s="25">
        <v>46125</v>
      </c>
      <c r="B802" s="29">
        <v>0.52222222222222225</v>
      </c>
      <c r="C802" s="19">
        <v>46126</v>
      </c>
      <c r="D802" s="24" t="str">
        <f t="shared" si="118"/>
        <v>Q6S</v>
      </c>
      <c r="E802" s="13" t="str">
        <f>VLOOKUP(D:D,工作表2!A:B,2,0)</f>
        <v>邦善</v>
      </c>
      <c r="F802" s="13" t="str">
        <f>VLOOKUP(D:D,工作表2!A:C,3,0)</f>
        <v>銀</v>
      </c>
      <c r="G802" s="17">
        <v>10324899</v>
      </c>
      <c r="H802" s="17" t="s">
        <v>1028</v>
      </c>
      <c r="I802" s="18" t="s">
        <v>1032</v>
      </c>
      <c r="J802" s="15">
        <v>410</v>
      </c>
      <c r="K802" s="15">
        <v>16</v>
      </c>
      <c r="L802" s="20">
        <f t="shared" si="119"/>
        <v>3.9024390243902439E-2</v>
      </c>
      <c r="M802" s="12">
        <v>14</v>
      </c>
      <c r="N802" s="12">
        <v>2</v>
      </c>
      <c r="Q802" s="23"/>
    </row>
    <row r="803" spans="1:21">
      <c r="A803" s="25">
        <v>46120</v>
      </c>
      <c r="B803" s="29">
        <v>0.63888888888888895</v>
      </c>
      <c r="C803" s="19">
        <v>46126</v>
      </c>
      <c r="D803" s="24" t="str">
        <f t="shared" si="118"/>
        <v>NRR</v>
      </c>
      <c r="E803" s="13" t="str">
        <f>VLOOKUP(D:D,工作表2!A:B,2,0)</f>
        <v>邦善</v>
      </c>
      <c r="F803" s="13" t="str">
        <f>VLOOKUP(D:D,工作表2!A:C,3,0)</f>
        <v>紅</v>
      </c>
      <c r="G803" s="17">
        <v>10321901</v>
      </c>
      <c r="H803" s="17" t="s">
        <v>710</v>
      </c>
      <c r="I803" s="18" t="s">
        <v>721</v>
      </c>
      <c r="J803" s="15">
        <v>240</v>
      </c>
      <c r="K803" s="15">
        <v>15</v>
      </c>
      <c r="L803" s="20">
        <f t="shared" si="119"/>
        <v>6.25E-2</v>
      </c>
      <c r="M803" s="12">
        <v>10</v>
      </c>
      <c r="N803" s="12">
        <v>5</v>
      </c>
      <c r="Q803" s="23"/>
    </row>
    <row r="804" spans="1:21">
      <c r="A804" s="25">
        <v>46122</v>
      </c>
      <c r="B804" s="29">
        <v>0.54583333333333328</v>
      </c>
      <c r="C804" s="19">
        <v>46126</v>
      </c>
      <c r="D804" s="24" t="str">
        <f t="shared" si="118"/>
        <v>NGW</v>
      </c>
      <c r="E804" s="13" t="str">
        <f>VLOOKUP(D:D,工作表2!A:B,2,0)</f>
        <v>邦善</v>
      </c>
      <c r="F804" s="13" t="str">
        <f>VLOOKUP(D:D,工作表2!A:C,3,0)</f>
        <v>白</v>
      </c>
      <c r="G804" s="17">
        <v>10321028</v>
      </c>
      <c r="H804" s="17" t="s">
        <v>579</v>
      </c>
      <c r="I804" s="18" t="s">
        <v>581</v>
      </c>
      <c r="J804" s="15">
        <v>200</v>
      </c>
      <c r="K804" s="15">
        <v>12</v>
      </c>
      <c r="L804" s="20">
        <f t="shared" si="119"/>
        <v>0.06</v>
      </c>
      <c r="M804" s="12">
        <v>10</v>
      </c>
      <c r="N804" s="12">
        <v>2</v>
      </c>
      <c r="Q804" s="23"/>
    </row>
    <row r="805" spans="1:21">
      <c r="A805" s="25">
        <v>46122</v>
      </c>
      <c r="B805" s="29">
        <v>0.53819444444444442</v>
      </c>
      <c r="C805" s="19">
        <v>46126</v>
      </c>
      <c r="D805" s="24" t="str">
        <f t="shared" si="118"/>
        <v>NGW</v>
      </c>
      <c r="E805" s="13" t="str">
        <f>VLOOKUP(D:D,工作表2!A:B,2,0)</f>
        <v>邦善</v>
      </c>
      <c r="F805" s="13" t="str">
        <f>VLOOKUP(D:D,工作表2!A:C,3,0)</f>
        <v>白</v>
      </c>
      <c r="G805" s="17">
        <v>10321025</v>
      </c>
      <c r="H805" s="17" t="s">
        <v>382</v>
      </c>
      <c r="I805" s="18" t="s">
        <v>387</v>
      </c>
      <c r="J805" s="15">
        <v>360</v>
      </c>
      <c r="K805" s="15">
        <v>21</v>
      </c>
      <c r="L805" s="20">
        <f t="shared" si="119"/>
        <v>5.8333333333333334E-2</v>
      </c>
      <c r="M805" s="12">
        <v>16</v>
      </c>
      <c r="N805" s="12">
        <v>5</v>
      </c>
      <c r="Q805" s="23" t="str">
        <f>VLOOKUP(H:H,'[1]雷雕處遮蔽&amp;艾仕得8844'!$A:$C,3,0)</f>
        <v>R</v>
      </c>
    </row>
    <row r="806" spans="1:21">
      <c r="A806" s="25">
        <v>46120</v>
      </c>
      <c r="B806" s="29">
        <v>0.63263888888888886</v>
      </c>
      <c r="C806" s="19">
        <v>46126</v>
      </c>
      <c r="D806" s="24" t="str">
        <f t="shared" si="118"/>
        <v>NRR</v>
      </c>
      <c r="E806" s="13" t="str">
        <f>VLOOKUP(D:D,工作表2!A:B,2,0)</f>
        <v>邦善</v>
      </c>
      <c r="F806" s="13" t="str">
        <f>VLOOKUP(D:D,工作表2!A:C,3,0)</f>
        <v>紅</v>
      </c>
      <c r="G806" s="17">
        <v>10321034</v>
      </c>
      <c r="H806" s="17" t="s">
        <v>633</v>
      </c>
      <c r="I806" s="18" t="s">
        <v>639</v>
      </c>
      <c r="J806" s="15">
        <v>280</v>
      </c>
      <c r="K806" s="15">
        <v>10</v>
      </c>
      <c r="L806" s="20">
        <f t="shared" si="119"/>
        <v>3.5714285714285712E-2</v>
      </c>
      <c r="M806" s="12">
        <v>8</v>
      </c>
      <c r="N806" s="12">
        <v>2</v>
      </c>
      <c r="Q806" s="23"/>
    </row>
    <row r="807" spans="1:21">
      <c r="A807" s="25">
        <v>46121</v>
      </c>
      <c r="B807" s="29">
        <v>0.5493055555555556</v>
      </c>
      <c r="C807" s="19">
        <v>46126</v>
      </c>
      <c r="D807" s="24" t="str">
        <f t="shared" si="118"/>
        <v>NGW</v>
      </c>
      <c r="E807" s="13" t="str">
        <f>VLOOKUP(D:D,工作表2!A:B,2,0)</f>
        <v>邦善</v>
      </c>
      <c r="F807" s="13" t="str">
        <f>VLOOKUP(D:D,工作表2!A:C,3,0)</f>
        <v>白</v>
      </c>
      <c r="G807" s="17">
        <v>10316465</v>
      </c>
      <c r="H807" s="17" t="s">
        <v>886</v>
      </c>
      <c r="I807" s="18" t="s">
        <v>888</v>
      </c>
      <c r="J807" s="15">
        <v>520</v>
      </c>
      <c r="K807" s="15">
        <v>39</v>
      </c>
      <c r="L807" s="20">
        <f t="shared" si="119"/>
        <v>7.4999999999999997E-2</v>
      </c>
      <c r="M807" s="12">
        <v>32</v>
      </c>
      <c r="N807" s="12">
        <v>7</v>
      </c>
      <c r="Q807" s="23" t="str">
        <f>VLOOKUP(H:H,'[1]雷雕處遮蔽&amp;艾仕得8844'!$A:$C,3,0)</f>
        <v>L</v>
      </c>
    </row>
    <row r="808" spans="1:21">
      <c r="A808" s="25">
        <v>46125</v>
      </c>
      <c r="B808" s="29">
        <v>0.52708333333333335</v>
      </c>
      <c r="C808" s="19">
        <v>46126</v>
      </c>
      <c r="D808" s="24" t="str">
        <f t="shared" si="118"/>
        <v>64W</v>
      </c>
      <c r="E808" s="13" t="str">
        <f>VLOOKUP(D:D,工作表2!A:B,2,0)</f>
        <v>建榮</v>
      </c>
      <c r="F808" s="13" t="str">
        <f>VLOOKUP(D:D,工作表2!A:C,3,0)</f>
        <v>白</v>
      </c>
      <c r="G808" s="17">
        <v>10321889</v>
      </c>
      <c r="H808" s="17" t="s">
        <v>707</v>
      </c>
      <c r="I808" s="18" t="s">
        <v>709</v>
      </c>
      <c r="J808" s="15">
        <v>30</v>
      </c>
      <c r="K808" s="15">
        <v>13</v>
      </c>
      <c r="L808" s="20">
        <f t="shared" si="119"/>
        <v>0.43333333333333335</v>
      </c>
      <c r="P808" s="32" t="s">
        <v>1037</v>
      </c>
      <c r="Q808" s="23"/>
      <c r="U808" s="12">
        <v>13</v>
      </c>
    </row>
    <row r="809" spans="1:21">
      <c r="A809" s="25">
        <v>46125</v>
      </c>
      <c r="B809" s="29">
        <v>0.52638888888888891</v>
      </c>
      <c r="C809" s="19">
        <v>46126</v>
      </c>
      <c r="D809" s="24" t="str">
        <f t="shared" si="118"/>
        <v>EHL</v>
      </c>
      <c r="E809" s="13" t="str">
        <f>VLOOKUP(D:D,工作表2!A:B,2,0)</f>
        <v>建榮</v>
      </c>
      <c r="F809" s="13" t="str">
        <f>VLOOKUP(D:D,工作表2!A:C,3,0)</f>
        <v>藍</v>
      </c>
      <c r="G809" s="17">
        <v>10321524</v>
      </c>
      <c r="H809" s="17" t="s">
        <v>684</v>
      </c>
      <c r="I809" s="18" t="s">
        <v>699</v>
      </c>
      <c r="J809" s="15">
        <v>30</v>
      </c>
      <c r="K809" s="15">
        <v>4</v>
      </c>
      <c r="L809" s="20">
        <f t="shared" si="119"/>
        <v>0.13333333333333333</v>
      </c>
      <c r="M809" s="12">
        <v>3</v>
      </c>
      <c r="N809" s="12">
        <v>1</v>
      </c>
      <c r="Q809" s="23"/>
    </row>
    <row r="810" spans="1:21">
      <c r="A810" s="25">
        <v>46127</v>
      </c>
      <c r="B810" s="29">
        <v>0.39027777777777778</v>
      </c>
      <c r="C810" s="11">
        <v>46127</v>
      </c>
      <c r="D810" s="24" t="str">
        <f t="shared" ref="D810:D822" si="120">RIGHT(I810,3)</f>
        <v>NBB</v>
      </c>
      <c r="E810" s="13" t="str">
        <f>VLOOKUP(D:D,工作表2!A:B,2,0)</f>
        <v>邦善</v>
      </c>
      <c r="F810" s="13" t="str">
        <f>VLOOKUP(D:D,工作表2!A:C,3,0)</f>
        <v>霧面黑</v>
      </c>
      <c r="G810" s="17">
        <v>10321887</v>
      </c>
      <c r="H810" s="17" t="s">
        <v>369</v>
      </c>
      <c r="I810" s="18" t="s">
        <v>371</v>
      </c>
      <c r="J810" s="15">
        <v>1596</v>
      </c>
      <c r="K810" s="15">
        <v>81</v>
      </c>
      <c r="L810" s="20">
        <f t="shared" ref="L810:L822" si="121">K810/J810</f>
        <v>5.0751879699248117E-2</v>
      </c>
      <c r="M810" s="12">
        <v>72</v>
      </c>
      <c r="N810" s="12">
        <v>9</v>
      </c>
      <c r="Q810" s="23"/>
    </row>
    <row r="811" spans="1:21">
      <c r="A811" s="25">
        <v>46126</v>
      </c>
      <c r="B811" s="29">
        <v>0.37847222222222227</v>
      </c>
      <c r="C811" s="11">
        <v>46127</v>
      </c>
      <c r="D811" s="24" t="str">
        <f t="shared" si="120"/>
        <v>QRB</v>
      </c>
      <c r="E811" s="13" t="str">
        <f>VLOOKUP(D:D,工作表2!A:B,2,0)</f>
        <v>邦善</v>
      </c>
      <c r="F811" s="13" t="str">
        <f>VLOOKUP(D:D,工作表2!A:C,3,0)</f>
        <v>霧面黑</v>
      </c>
      <c r="G811" s="17">
        <v>10321590</v>
      </c>
      <c r="H811" s="17" t="s">
        <v>170</v>
      </c>
      <c r="I811" s="18" t="s">
        <v>171</v>
      </c>
      <c r="J811" s="15">
        <v>26600</v>
      </c>
      <c r="K811" s="15">
        <v>625</v>
      </c>
      <c r="L811" s="20">
        <f t="shared" si="121"/>
        <v>2.3496240601503758E-2</v>
      </c>
      <c r="M811" s="12">
        <v>555</v>
      </c>
      <c r="N811" s="12">
        <v>65</v>
      </c>
      <c r="O811" s="15">
        <v>5</v>
      </c>
      <c r="Q811" s="23"/>
    </row>
    <row r="812" spans="1:21">
      <c r="A812" s="25">
        <v>46126</v>
      </c>
      <c r="B812" s="29">
        <v>0.6118055555555556</v>
      </c>
      <c r="C812" s="19">
        <v>46127</v>
      </c>
      <c r="D812" s="24" t="str">
        <f t="shared" si="120"/>
        <v>19W</v>
      </c>
      <c r="E812" s="13" t="str">
        <f>VLOOKUP(D:D,工作表2!A:B,2,0)</f>
        <v>敦陽</v>
      </c>
      <c r="F812" s="13" t="str">
        <f>VLOOKUP(D:D,工作表2!A:C,3,0)</f>
        <v>白</v>
      </c>
      <c r="G812" s="17">
        <v>10325442</v>
      </c>
      <c r="H812" s="17" t="s">
        <v>846</v>
      </c>
      <c r="I812" s="18" t="s">
        <v>859</v>
      </c>
      <c r="J812" s="15">
        <v>80</v>
      </c>
      <c r="K812" s="15">
        <v>6</v>
      </c>
      <c r="L812" s="20">
        <f t="shared" si="121"/>
        <v>7.4999999999999997E-2</v>
      </c>
      <c r="M812" s="12">
        <v>5</v>
      </c>
      <c r="N812" s="12">
        <v>1</v>
      </c>
      <c r="Q812" s="23"/>
    </row>
    <row r="813" spans="1:21">
      <c r="A813" s="25">
        <v>46126</v>
      </c>
      <c r="B813" s="29">
        <v>0.61111111111111105</v>
      </c>
      <c r="C813" s="19">
        <v>46127</v>
      </c>
      <c r="D813" s="24" t="str">
        <f t="shared" si="120"/>
        <v>19W</v>
      </c>
      <c r="E813" s="13" t="str">
        <f>VLOOKUP(D:D,工作表2!A:B,2,0)</f>
        <v>敦陽</v>
      </c>
      <c r="F813" s="13" t="str">
        <f>VLOOKUP(D:D,工作表2!A:C,3,0)</f>
        <v>白</v>
      </c>
      <c r="G813" s="17">
        <v>10325439</v>
      </c>
      <c r="H813" s="17" t="s">
        <v>672</v>
      </c>
      <c r="I813" s="18" t="s">
        <v>687</v>
      </c>
      <c r="J813" s="15">
        <v>80</v>
      </c>
      <c r="K813" s="15">
        <v>13</v>
      </c>
      <c r="L813" s="20">
        <f t="shared" si="121"/>
        <v>0.16250000000000001</v>
      </c>
      <c r="M813" s="12">
        <v>9</v>
      </c>
      <c r="N813" s="12">
        <v>4</v>
      </c>
      <c r="Q813" s="23" t="str">
        <f>VLOOKUP(H:H,'[1]雷雕處遮蔽&amp;艾仕得8844'!$A:$C,3,0)</f>
        <v>0度頭蓋</v>
      </c>
    </row>
    <row r="814" spans="1:21">
      <c r="A814" s="25">
        <v>46125</v>
      </c>
      <c r="B814" s="29">
        <v>0.63611111111111118</v>
      </c>
      <c r="C814" s="19">
        <v>46127</v>
      </c>
      <c r="D814" s="24" t="str">
        <f t="shared" si="120"/>
        <v>71A</v>
      </c>
      <c r="E814" s="13" t="str">
        <f>VLOOKUP(D:D,工作表2!A:B,2,0)</f>
        <v>敦陽</v>
      </c>
      <c r="F814" s="13" t="str">
        <f>VLOOKUP(D:D,工作表2!A:C,3,0)</f>
        <v>灰</v>
      </c>
      <c r="G814" s="17">
        <v>10325440</v>
      </c>
      <c r="H814" s="17" t="s">
        <v>678</v>
      </c>
      <c r="I814" s="18" t="s">
        <v>693</v>
      </c>
      <c r="J814" s="15">
        <v>80</v>
      </c>
      <c r="K814" s="15">
        <v>4</v>
      </c>
      <c r="L814" s="20">
        <f t="shared" si="121"/>
        <v>0.05</v>
      </c>
      <c r="M814" s="12">
        <v>3</v>
      </c>
      <c r="N814" s="12">
        <v>1</v>
      </c>
      <c r="Q814" s="23" t="str">
        <f>VLOOKUP(H:H,'[1]雷雕處遮蔽&amp;艾仕得8844'!$A:$C,3,0)</f>
        <v>0度頭蓋</v>
      </c>
    </row>
    <row r="815" spans="1:21">
      <c r="A815" s="25">
        <v>46126</v>
      </c>
      <c r="B815" s="29">
        <v>0.61249999999999993</v>
      </c>
      <c r="C815" s="19">
        <v>46127</v>
      </c>
      <c r="D815" s="24" t="str">
        <f t="shared" si="120"/>
        <v>WKL</v>
      </c>
      <c r="E815" s="13" t="str">
        <f>VLOOKUP(D:D,工作表2!A:B,2,0)</f>
        <v>邦善</v>
      </c>
      <c r="F815" s="13" t="str">
        <f>VLOOKUP(D:D,工作表2!A:C,3,0)</f>
        <v>銀</v>
      </c>
      <c r="G815" s="17">
        <v>10325441</v>
      </c>
      <c r="H815" s="17" t="s">
        <v>1038</v>
      </c>
      <c r="I815" s="18" t="s">
        <v>1039</v>
      </c>
      <c r="J815" s="15">
        <v>30</v>
      </c>
      <c r="K815" s="15">
        <v>7</v>
      </c>
      <c r="L815" s="20">
        <f t="shared" si="121"/>
        <v>0.23333333333333334</v>
      </c>
      <c r="M815" s="12">
        <v>4</v>
      </c>
      <c r="N815" s="12">
        <v>3</v>
      </c>
      <c r="Q815" s="23"/>
    </row>
    <row r="816" spans="1:21">
      <c r="A816" s="25">
        <v>46125</v>
      </c>
      <c r="B816" s="29">
        <v>0.59375</v>
      </c>
      <c r="C816" s="19">
        <v>46127</v>
      </c>
      <c r="D816" s="24" t="str">
        <f t="shared" si="120"/>
        <v>NGW</v>
      </c>
      <c r="E816" s="13" t="str">
        <f>VLOOKUP(D:D,工作表2!A:B,2,0)</f>
        <v>邦善</v>
      </c>
      <c r="F816" s="13" t="str">
        <f>VLOOKUP(D:D,工作表2!A:C,3,0)</f>
        <v>白</v>
      </c>
      <c r="G816" s="17">
        <v>10321039</v>
      </c>
      <c r="H816" s="17" t="s">
        <v>517</v>
      </c>
      <c r="I816" s="18" t="s">
        <v>529</v>
      </c>
      <c r="J816" s="15">
        <v>320</v>
      </c>
      <c r="K816" s="15">
        <v>19</v>
      </c>
      <c r="L816" s="20">
        <f t="shared" si="121"/>
        <v>5.9374999999999997E-2</v>
      </c>
      <c r="M816" s="12">
        <v>14</v>
      </c>
      <c r="N816" s="12">
        <v>5</v>
      </c>
      <c r="Q816" s="23" t="str">
        <f>VLOOKUP(H:H,'[1]雷雕處遮蔽&amp;艾仕得8844'!$A:$C,3,0)</f>
        <v>L</v>
      </c>
    </row>
    <row r="817" spans="1:18">
      <c r="A817" s="25">
        <v>46122</v>
      </c>
      <c r="B817" s="29">
        <v>0.55069444444444449</v>
      </c>
      <c r="C817" s="19">
        <v>46127</v>
      </c>
      <c r="D817" s="24" t="str">
        <f t="shared" si="120"/>
        <v>NGW</v>
      </c>
      <c r="E817" s="13" t="str">
        <f>VLOOKUP(D:D,工作表2!A:B,2,0)</f>
        <v>邦善</v>
      </c>
      <c r="F817" s="13" t="str">
        <f>VLOOKUP(D:D,工作表2!A:C,3,0)</f>
        <v>白</v>
      </c>
      <c r="G817" s="17">
        <v>10321022</v>
      </c>
      <c r="H817" s="17" t="s">
        <v>896</v>
      </c>
      <c r="I817" s="18" t="s">
        <v>903</v>
      </c>
      <c r="J817" s="15">
        <v>1080</v>
      </c>
      <c r="K817" s="15">
        <v>45</v>
      </c>
      <c r="L817" s="20">
        <f t="shared" si="121"/>
        <v>4.1666666666666664E-2</v>
      </c>
      <c r="M817" s="12">
        <v>28</v>
      </c>
      <c r="N817" s="12">
        <v>17</v>
      </c>
      <c r="Q817" s="23" t="str">
        <f>VLOOKUP(H:H,'[1]雷雕處遮蔽&amp;艾仕得8844'!$A:$C,3,0)</f>
        <v>R</v>
      </c>
    </row>
    <row r="818" spans="1:18">
      <c r="A818" s="25">
        <v>46125</v>
      </c>
      <c r="B818" s="29">
        <v>0.6166666666666667</v>
      </c>
      <c r="C818" s="19">
        <v>46127</v>
      </c>
      <c r="D818" s="24" t="str">
        <f t="shared" si="120"/>
        <v>NRR</v>
      </c>
      <c r="E818" s="13" t="str">
        <f>VLOOKUP(D:D,工作表2!A:B,2,0)</f>
        <v>邦善</v>
      </c>
      <c r="F818" s="13" t="str">
        <f>VLOOKUP(D:D,工作表2!A:C,3,0)</f>
        <v>紅</v>
      </c>
      <c r="G818" s="17">
        <v>10326859</v>
      </c>
      <c r="H818" s="17" t="s">
        <v>710</v>
      </c>
      <c r="I818" s="18" t="s">
        <v>721</v>
      </c>
      <c r="J818" s="15">
        <v>80</v>
      </c>
      <c r="K818" s="15">
        <v>7</v>
      </c>
      <c r="L818" s="20">
        <f t="shared" si="121"/>
        <v>8.7499999999999994E-2</v>
      </c>
      <c r="M818" s="12">
        <v>6</v>
      </c>
      <c r="N818" s="12">
        <v>1</v>
      </c>
      <c r="Q818" s="23"/>
    </row>
    <row r="819" spans="1:18">
      <c r="A819" s="25">
        <v>46125</v>
      </c>
      <c r="B819" s="29">
        <v>0.57361111111111118</v>
      </c>
      <c r="C819" s="19">
        <v>46127</v>
      </c>
      <c r="D819" s="24" t="str">
        <f t="shared" si="120"/>
        <v>WXL</v>
      </c>
      <c r="E819" s="13" t="str">
        <f>VLOOKUP(D:D,工作表2!A:B,2,0)</f>
        <v>邦善</v>
      </c>
      <c r="F819" s="13" t="str">
        <f>VLOOKUP(D:D,工作表2!A:C,3,0)</f>
        <v>藍</v>
      </c>
      <c r="G819" s="17">
        <v>10321584</v>
      </c>
      <c r="H819" s="17" t="s">
        <v>632</v>
      </c>
      <c r="I819" s="18" t="s">
        <v>638</v>
      </c>
      <c r="J819" s="15">
        <v>520</v>
      </c>
      <c r="K819" s="15">
        <v>30</v>
      </c>
      <c r="L819" s="20">
        <f t="shared" si="121"/>
        <v>5.7692307692307696E-2</v>
      </c>
      <c r="M819" s="12">
        <v>22</v>
      </c>
      <c r="N819" s="12">
        <v>8</v>
      </c>
      <c r="Q819" s="23"/>
    </row>
    <row r="820" spans="1:18">
      <c r="A820" s="25">
        <v>46126</v>
      </c>
      <c r="B820" s="29">
        <v>0.54166666666666663</v>
      </c>
      <c r="C820" s="19">
        <v>46127</v>
      </c>
      <c r="D820" s="24" t="str">
        <f t="shared" si="120"/>
        <v>Q9B</v>
      </c>
      <c r="E820" s="13" t="str">
        <f>VLOOKUP(D:D,工作表2!A:B,2,0)</f>
        <v>邦善</v>
      </c>
      <c r="F820" s="13" t="str">
        <f>VLOOKUP(D:D,工作表2!A:C,3,0)</f>
        <v>黑</v>
      </c>
      <c r="G820" s="17">
        <v>10321035</v>
      </c>
      <c r="H820" s="17" t="s">
        <v>631</v>
      </c>
      <c r="I820" s="18" t="s">
        <v>637</v>
      </c>
      <c r="J820" s="15">
        <v>384</v>
      </c>
      <c r="K820" s="15">
        <v>35</v>
      </c>
      <c r="L820" s="20">
        <f t="shared" si="121"/>
        <v>9.1145833333333329E-2</v>
      </c>
      <c r="M820" s="12">
        <v>25</v>
      </c>
      <c r="N820" s="12">
        <v>10</v>
      </c>
      <c r="Q820" s="23" t="str">
        <f>VLOOKUP(H:H,'[1]雷雕處遮蔽&amp;艾仕得8844'!$A:$C,3,0)</f>
        <v>L</v>
      </c>
    </row>
    <row r="821" spans="1:18">
      <c r="A821" s="25">
        <v>46121</v>
      </c>
      <c r="B821" s="29">
        <v>0.61944444444444446</v>
      </c>
      <c r="C821" s="19">
        <v>46127</v>
      </c>
      <c r="D821" s="24" t="str">
        <f t="shared" si="120"/>
        <v>NGW</v>
      </c>
      <c r="E821" s="13" t="str">
        <f>VLOOKUP(D:D,工作表2!A:B,2,0)</f>
        <v>邦善</v>
      </c>
      <c r="F821" s="13" t="str">
        <f>VLOOKUP(D:D,工作表2!A:C,3,0)</f>
        <v>白</v>
      </c>
      <c r="G821" s="17">
        <v>10321015</v>
      </c>
      <c r="H821" s="17" t="s">
        <v>521</v>
      </c>
      <c r="I821" s="18" t="s">
        <v>533</v>
      </c>
      <c r="J821" s="15">
        <v>804</v>
      </c>
      <c r="K821" s="15">
        <v>100</v>
      </c>
      <c r="L821" s="20">
        <f t="shared" si="121"/>
        <v>0.12437810945273632</v>
      </c>
      <c r="M821" s="12">
        <v>79</v>
      </c>
      <c r="N821" s="12">
        <v>21</v>
      </c>
      <c r="Q821" s="23" t="str">
        <f>VLOOKUP(H:H,'[1]雷雕處遮蔽&amp;艾仕得8844'!$A:$C,3,0)</f>
        <v>0度頭蓋</v>
      </c>
    </row>
    <row r="822" spans="1:18">
      <c r="A822" s="25">
        <v>46121</v>
      </c>
      <c r="B822" s="29">
        <v>0.61527777777777781</v>
      </c>
      <c r="C822" s="19">
        <v>46127</v>
      </c>
      <c r="D822" s="24" t="str">
        <f t="shared" si="120"/>
        <v>N8B</v>
      </c>
      <c r="E822" s="13" t="str">
        <f>VLOOKUP(D:D,工作表2!A:B,2,0)</f>
        <v>邦善</v>
      </c>
      <c r="F822" s="13" t="str">
        <f>VLOOKUP(D:D,工作表2!A:C,3,0)</f>
        <v>霧面黑</v>
      </c>
      <c r="G822" s="17">
        <v>10321585</v>
      </c>
      <c r="H822" s="17" t="s">
        <v>613</v>
      </c>
      <c r="I822" s="18" t="s">
        <v>620</v>
      </c>
      <c r="J822" s="15">
        <v>804</v>
      </c>
      <c r="K822" s="15">
        <v>104</v>
      </c>
      <c r="L822" s="20">
        <f t="shared" si="121"/>
        <v>0.12935323383084577</v>
      </c>
      <c r="M822" s="12">
        <v>49</v>
      </c>
      <c r="N822" s="12">
        <v>15</v>
      </c>
      <c r="P822" s="32" t="s">
        <v>1040</v>
      </c>
      <c r="Q822" s="23" t="str">
        <f>VLOOKUP(H:H,'[1]雷雕處遮蔽&amp;艾仕得8844'!$A:$C,3,0)</f>
        <v>0度頭蓋</v>
      </c>
      <c r="R822" s="15">
        <v>40</v>
      </c>
    </row>
    <row r="823" spans="1:18">
      <c r="A823" s="25">
        <v>46126</v>
      </c>
      <c r="B823" s="29">
        <v>0.61319444444444449</v>
      </c>
      <c r="C823" s="11">
        <v>46128</v>
      </c>
      <c r="D823" s="24" t="str">
        <f t="shared" ref="D823:D853" si="122">RIGHT(I823,3)</f>
        <v>42W</v>
      </c>
      <c r="E823" s="13" t="str">
        <f>VLOOKUP(D:D,工作表2!A:B,2,0)</f>
        <v>敦陽</v>
      </c>
      <c r="F823" s="13" t="str">
        <f>VLOOKUP(D:D,工作表2!A:C,3,0)</f>
        <v>白</v>
      </c>
      <c r="G823" s="17">
        <v>10315752</v>
      </c>
      <c r="H823" s="17" t="s">
        <v>805</v>
      </c>
      <c r="I823" s="18" t="s">
        <v>807</v>
      </c>
      <c r="J823" s="15">
        <v>240</v>
      </c>
      <c r="K823" s="15">
        <v>0</v>
      </c>
      <c r="L823" s="20">
        <f t="shared" ref="L823:L853" si="123">K823/J823</f>
        <v>0</v>
      </c>
      <c r="Q823" s="23"/>
    </row>
    <row r="824" spans="1:18">
      <c r="A824" s="25">
        <v>46125</v>
      </c>
      <c r="B824" s="29">
        <v>0.63472222222222219</v>
      </c>
      <c r="C824" s="11">
        <v>46128</v>
      </c>
      <c r="D824" s="24" t="str">
        <f t="shared" si="122"/>
        <v>9DB</v>
      </c>
      <c r="E824" s="13" t="str">
        <f>VLOOKUP(D:D,工作表2!A:B,2,0)</f>
        <v>敦陽</v>
      </c>
      <c r="F824" s="13" t="str">
        <f>VLOOKUP(D:D,工作表2!A:C,3,0)</f>
        <v>黑</v>
      </c>
      <c r="G824" s="17">
        <v>10315753</v>
      </c>
      <c r="H824" s="17" t="s">
        <v>1043</v>
      </c>
      <c r="I824" s="18" t="s">
        <v>1048</v>
      </c>
      <c r="J824" s="15">
        <v>30</v>
      </c>
      <c r="K824" s="15">
        <v>2</v>
      </c>
      <c r="L824" s="20">
        <f t="shared" si="123"/>
        <v>6.6666666666666666E-2</v>
      </c>
      <c r="M824" s="12">
        <v>2</v>
      </c>
      <c r="P824" s="32" t="s">
        <v>1051</v>
      </c>
      <c r="Q824" s="23"/>
    </row>
    <row r="825" spans="1:18">
      <c r="A825" s="25">
        <v>46127</v>
      </c>
      <c r="B825" s="29">
        <v>0.4201388888888889</v>
      </c>
      <c r="C825" s="19">
        <v>46128</v>
      </c>
      <c r="D825" s="24" t="str">
        <f t="shared" si="122"/>
        <v>QRB</v>
      </c>
      <c r="E825" s="13" t="str">
        <f>VLOOKUP(D:D,工作表2!A:B,2,0)</f>
        <v>邦善</v>
      </c>
      <c r="F825" s="13" t="str">
        <f>VLOOKUP(D:D,工作表2!A:C,3,0)</f>
        <v>霧面黑</v>
      </c>
      <c r="G825" s="17">
        <v>10321591</v>
      </c>
      <c r="H825" s="17" t="s">
        <v>170</v>
      </c>
      <c r="I825" s="18" t="s">
        <v>171</v>
      </c>
      <c r="J825" s="15">
        <v>11172</v>
      </c>
      <c r="K825" s="15">
        <v>377</v>
      </c>
      <c r="L825" s="20">
        <f t="shared" si="123"/>
        <v>3.3745076978159684E-2</v>
      </c>
      <c r="M825" s="12">
        <v>334</v>
      </c>
      <c r="N825" s="12">
        <v>37</v>
      </c>
      <c r="O825" s="15">
        <v>6</v>
      </c>
      <c r="Q825" s="23"/>
    </row>
    <row r="826" spans="1:18">
      <c r="A826" s="25">
        <v>46127</v>
      </c>
      <c r="B826" s="29">
        <v>0.57152777777777775</v>
      </c>
      <c r="C826" s="19">
        <v>46128</v>
      </c>
      <c r="D826" s="24" t="str">
        <f t="shared" si="122"/>
        <v>SAA</v>
      </c>
      <c r="E826" s="13" t="str">
        <f>VLOOKUP(D:D,工作表2!A:B,2,0)</f>
        <v>邦善</v>
      </c>
      <c r="F826" s="13" t="str">
        <f>VLOOKUP(D:D,工作表2!A:C,3,0)</f>
        <v>灰</v>
      </c>
      <c r="G826" s="17">
        <v>10321912</v>
      </c>
      <c r="H826" s="17" t="s">
        <v>619</v>
      </c>
      <c r="I826" s="18" t="s">
        <v>628</v>
      </c>
      <c r="J826" s="15">
        <v>3192</v>
      </c>
      <c r="K826" s="15">
        <v>97</v>
      </c>
      <c r="L826" s="20">
        <f t="shared" si="123"/>
        <v>3.038847117794486E-2</v>
      </c>
      <c r="M826" s="12">
        <v>77</v>
      </c>
      <c r="N826" s="12">
        <v>20</v>
      </c>
      <c r="Q826" s="23"/>
    </row>
    <row r="827" spans="1:18">
      <c r="A827" s="25">
        <v>46127</v>
      </c>
      <c r="B827" s="29">
        <v>0.54375000000000007</v>
      </c>
      <c r="C827" s="19">
        <v>46128</v>
      </c>
      <c r="D827" s="24" t="str">
        <f t="shared" si="122"/>
        <v>TXA</v>
      </c>
      <c r="E827" s="13" t="str">
        <f>VLOOKUP(D:D,工作表2!A:B,2,0)</f>
        <v>邦善</v>
      </c>
      <c r="F827" s="13" t="str">
        <f>VLOOKUP(D:D,工作表2!A:C,3,0)</f>
        <v>灰</v>
      </c>
      <c r="G827" s="17">
        <v>10321886</v>
      </c>
      <c r="H827" s="17" t="s">
        <v>520</v>
      </c>
      <c r="I827" s="18" t="s">
        <v>532</v>
      </c>
      <c r="J827" s="15">
        <v>6650</v>
      </c>
      <c r="K827" s="15">
        <v>146</v>
      </c>
      <c r="L827" s="20">
        <f t="shared" si="123"/>
        <v>2.1954887218045113E-2</v>
      </c>
      <c r="M827" s="12">
        <v>137</v>
      </c>
      <c r="N827" s="12">
        <v>9</v>
      </c>
      <c r="Q827" s="23"/>
    </row>
    <row r="828" spans="1:18">
      <c r="A828" s="25">
        <v>46127</v>
      </c>
      <c r="B828" s="29">
        <v>0.58750000000000002</v>
      </c>
      <c r="C828" s="19">
        <v>46128</v>
      </c>
      <c r="D828" s="24" t="str">
        <f t="shared" si="122"/>
        <v>U3L</v>
      </c>
      <c r="E828" s="13" t="str">
        <f>VLOOKUP(D:D,工作表2!A:B,2,0)</f>
        <v>邦善</v>
      </c>
      <c r="F828" s="13" t="str">
        <f>VLOOKUP(D:D,工作表2!A:C,3,0)</f>
        <v>藍</v>
      </c>
      <c r="G828" s="17">
        <v>10321914</v>
      </c>
      <c r="H828" s="17" t="s">
        <v>392</v>
      </c>
      <c r="I828" s="18" t="s">
        <v>394</v>
      </c>
      <c r="J828" s="15">
        <v>2660</v>
      </c>
      <c r="K828" s="15">
        <v>76</v>
      </c>
      <c r="L828" s="20">
        <f t="shared" si="123"/>
        <v>2.8571428571428571E-2</v>
      </c>
      <c r="M828" s="12">
        <v>60</v>
      </c>
      <c r="N828" s="12">
        <v>16</v>
      </c>
      <c r="Q828" s="23"/>
    </row>
    <row r="829" spans="1:18">
      <c r="A829" s="25">
        <v>46127</v>
      </c>
      <c r="B829" s="29">
        <v>0.59930555555555554</v>
      </c>
      <c r="C829" s="19">
        <v>46128</v>
      </c>
      <c r="D829" s="24" t="str">
        <f t="shared" si="122"/>
        <v>VLS</v>
      </c>
      <c r="E829" s="13" t="str">
        <f>VLOOKUP(D:D,工作表2!A:B,2,0)</f>
        <v>邦善</v>
      </c>
      <c r="F829" s="13" t="str">
        <f>VLOOKUP(D:D,工作表2!A:C,3,0)</f>
        <v>銀</v>
      </c>
      <c r="G829" s="17">
        <v>10321893</v>
      </c>
      <c r="H829" s="17" t="s">
        <v>383</v>
      </c>
      <c r="I829" s="18" t="s">
        <v>388</v>
      </c>
      <c r="J829" s="15">
        <v>3990</v>
      </c>
      <c r="K829" s="15">
        <v>89</v>
      </c>
      <c r="L829" s="20">
        <f t="shared" si="123"/>
        <v>2.2305764411027568E-2</v>
      </c>
      <c r="M829" s="12">
        <v>85</v>
      </c>
      <c r="N829" s="12">
        <v>4</v>
      </c>
      <c r="Q829" s="23"/>
    </row>
    <row r="830" spans="1:18">
      <c r="A830" s="25">
        <v>46127</v>
      </c>
      <c r="B830" s="29">
        <v>0.62013888888888891</v>
      </c>
      <c r="C830" s="19">
        <v>46128</v>
      </c>
      <c r="D830" s="24" t="str">
        <f t="shared" si="122"/>
        <v>VWL</v>
      </c>
      <c r="E830" s="13" t="str">
        <f>VLOOKUP(D:D,工作表2!A:B,2,0)</f>
        <v>邦善</v>
      </c>
      <c r="F830" s="13" t="str">
        <f>VLOOKUP(D:D,工作表2!A:C,3,0)</f>
        <v>藍</v>
      </c>
      <c r="G830" s="17">
        <v>10321913</v>
      </c>
      <c r="H830" s="17" t="s">
        <v>400</v>
      </c>
      <c r="I830" s="18" t="s">
        <v>401</v>
      </c>
      <c r="J830" s="15">
        <v>266</v>
      </c>
      <c r="K830" s="15">
        <v>21</v>
      </c>
      <c r="L830" s="20">
        <f t="shared" si="123"/>
        <v>7.8947368421052627E-2</v>
      </c>
      <c r="M830" s="12">
        <v>19</v>
      </c>
      <c r="N830" s="12">
        <v>2</v>
      </c>
      <c r="Q830" s="23"/>
    </row>
    <row r="831" spans="1:18">
      <c r="A831" s="25">
        <v>46126</v>
      </c>
      <c r="B831" s="29">
        <v>0.66180555555555554</v>
      </c>
      <c r="C831" s="19">
        <v>46128</v>
      </c>
      <c r="D831" s="24" t="str">
        <f t="shared" si="122"/>
        <v>QHR</v>
      </c>
      <c r="E831" s="13" t="str">
        <f>VLOOKUP(D:D,工作表2!A:B,2,0)</f>
        <v>邦善</v>
      </c>
      <c r="F831" s="13" t="str">
        <f>VLOOKUP(D:D,工作表2!A:C,3,0)</f>
        <v>紅</v>
      </c>
      <c r="G831" s="17">
        <v>10321890</v>
      </c>
      <c r="H831" s="17" t="s">
        <v>823</v>
      </c>
      <c r="I831" s="18" t="s">
        <v>832</v>
      </c>
      <c r="J831" s="15">
        <v>1064</v>
      </c>
      <c r="K831" s="15">
        <v>34</v>
      </c>
      <c r="L831" s="20">
        <f t="shared" si="123"/>
        <v>3.1954887218045111E-2</v>
      </c>
      <c r="M831" s="12">
        <v>23</v>
      </c>
      <c r="N831" s="12">
        <v>11</v>
      </c>
      <c r="Q831" s="23"/>
    </row>
    <row r="832" spans="1:18">
      <c r="A832" s="25">
        <v>46125</v>
      </c>
      <c r="B832" s="29">
        <v>0.53125</v>
      </c>
      <c r="C832" s="19">
        <v>46128</v>
      </c>
      <c r="D832" s="24" t="str">
        <f t="shared" si="122"/>
        <v>RCA</v>
      </c>
      <c r="E832" s="13" t="str">
        <f>VLOOKUP(D:D,工作表2!A:B,2,0)</f>
        <v>邦善</v>
      </c>
      <c r="F832" s="13" t="str">
        <f>VLOOKUP(D:D,工作表2!A:C,3,0)</f>
        <v>灰</v>
      </c>
      <c r="G832" s="17">
        <v>10321019</v>
      </c>
      <c r="H832" s="17" t="s">
        <v>978</v>
      </c>
      <c r="I832" s="18" t="s">
        <v>979</v>
      </c>
      <c r="J832" s="15">
        <v>480</v>
      </c>
      <c r="K832" s="15">
        <v>40</v>
      </c>
      <c r="L832" s="20">
        <f t="shared" si="123"/>
        <v>8.3333333333333329E-2</v>
      </c>
      <c r="M832" s="12">
        <v>33</v>
      </c>
      <c r="N832" s="12">
        <v>7</v>
      </c>
      <c r="Q832" s="23" t="str">
        <f>VLOOKUP(H:H,'[1]雷雕處遮蔽&amp;艾仕得8844'!$A:$C,3,0)</f>
        <v>L</v>
      </c>
    </row>
    <row r="833" spans="1:17">
      <c r="A833" s="25">
        <v>46125</v>
      </c>
      <c r="B833" s="29">
        <v>0.54722222222222217</v>
      </c>
      <c r="C833" s="19">
        <v>46128</v>
      </c>
      <c r="D833" s="24" t="str">
        <f t="shared" si="122"/>
        <v>RCA</v>
      </c>
      <c r="E833" s="13" t="str">
        <f>VLOOKUP(D:D,工作表2!A:B,2,0)</f>
        <v>邦善</v>
      </c>
      <c r="F833" s="13" t="str">
        <f>VLOOKUP(D:D,工作表2!A:C,3,0)</f>
        <v>灰</v>
      </c>
      <c r="G833" s="17">
        <v>10321021</v>
      </c>
      <c r="H833" s="17" t="s">
        <v>585</v>
      </c>
      <c r="I833" s="18" t="s">
        <v>589</v>
      </c>
      <c r="J833" s="15">
        <v>320</v>
      </c>
      <c r="K833" s="15">
        <v>10</v>
      </c>
      <c r="L833" s="20">
        <f t="shared" si="123"/>
        <v>3.125E-2</v>
      </c>
      <c r="M833" s="12">
        <v>7</v>
      </c>
      <c r="N833" s="12">
        <v>3</v>
      </c>
      <c r="Q833" s="23" t="str">
        <f>VLOOKUP(H:H,'[1]雷雕處遮蔽&amp;艾仕得8844'!$A:$C,3,0)</f>
        <v>R</v>
      </c>
    </row>
    <row r="834" spans="1:17">
      <c r="A834" s="25">
        <v>46127</v>
      </c>
      <c r="B834" s="29">
        <v>0.41041666666666665</v>
      </c>
      <c r="C834" s="19">
        <v>46128</v>
      </c>
      <c r="D834" s="24" t="str">
        <f t="shared" si="122"/>
        <v>Q9B</v>
      </c>
      <c r="E834" s="13" t="str">
        <f>VLOOKUP(D:D,工作表2!A:B,2,0)</f>
        <v>邦善</v>
      </c>
      <c r="F834" s="13" t="str">
        <f>VLOOKUP(D:D,工作表2!A:C,3,0)</f>
        <v>黑</v>
      </c>
      <c r="G834" s="17">
        <v>10321024</v>
      </c>
      <c r="H834" s="17" t="s">
        <v>1045</v>
      </c>
      <c r="I834" s="18" t="s">
        <v>1050</v>
      </c>
      <c r="J834" s="15">
        <v>440</v>
      </c>
      <c r="K834" s="15">
        <v>44</v>
      </c>
      <c r="L834" s="20">
        <f t="shared" si="123"/>
        <v>0.1</v>
      </c>
      <c r="M834" s="12">
        <v>32</v>
      </c>
      <c r="N834" s="12">
        <v>12</v>
      </c>
      <c r="Q834" s="23" t="str">
        <f>VLOOKUP(H:H,'[1]雷雕處遮蔽&amp;艾仕得8844'!$A:$C,3,0)</f>
        <v>R</v>
      </c>
    </row>
    <row r="835" spans="1:17">
      <c r="A835" s="25">
        <v>46126</v>
      </c>
      <c r="B835" s="29">
        <v>0.46875</v>
      </c>
      <c r="C835" s="19">
        <v>46128</v>
      </c>
      <c r="D835" s="24" t="str">
        <f t="shared" si="122"/>
        <v>Q9B</v>
      </c>
      <c r="E835" s="13" t="str">
        <f>VLOOKUP(D:D,工作表2!A:B,2,0)</f>
        <v>邦善</v>
      </c>
      <c r="F835" s="13" t="str">
        <f>VLOOKUP(D:D,工作表2!A:C,3,0)</f>
        <v>黑</v>
      </c>
      <c r="G835" s="17">
        <v>10321017</v>
      </c>
      <c r="H835" s="17" t="s">
        <v>1044</v>
      </c>
      <c r="I835" s="18" t="s">
        <v>1049</v>
      </c>
      <c r="J835" s="15">
        <v>480</v>
      </c>
      <c r="K835" s="15">
        <v>40</v>
      </c>
      <c r="L835" s="20">
        <f t="shared" si="123"/>
        <v>8.3333333333333329E-2</v>
      </c>
      <c r="M835" s="12">
        <v>21</v>
      </c>
      <c r="N835" s="12">
        <v>19</v>
      </c>
      <c r="Q835" s="23" t="str">
        <f>VLOOKUP(H:H,'[1]雷雕處遮蔽&amp;艾仕得8844'!$A:$C,3,0)</f>
        <v>L</v>
      </c>
    </row>
    <row r="836" spans="1:17">
      <c r="A836" s="25">
        <v>46126</v>
      </c>
      <c r="B836" s="29">
        <v>0.47361111111111115</v>
      </c>
      <c r="C836" s="19">
        <v>46128</v>
      </c>
      <c r="D836" s="24" t="str">
        <f t="shared" si="122"/>
        <v>Q9B</v>
      </c>
      <c r="E836" s="13" t="str">
        <f>VLOOKUP(D:D,工作表2!A:B,2,0)</f>
        <v>邦善</v>
      </c>
      <c r="F836" s="13" t="str">
        <f>VLOOKUP(D:D,工作表2!A:C,3,0)</f>
        <v>黑</v>
      </c>
      <c r="G836" s="17">
        <v>10321018</v>
      </c>
      <c r="H836" s="17" t="s">
        <v>1042</v>
      </c>
      <c r="I836" s="18" t="s">
        <v>1047</v>
      </c>
      <c r="J836" s="15">
        <v>480</v>
      </c>
      <c r="K836" s="15">
        <v>52</v>
      </c>
      <c r="L836" s="20">
        <f t="shared" si="123"/>
        <v>0.10833333333333334</v>
      </c>
      <c r="M836" s="12">
        <v>43</v>
      </c>
      <c r="N836" s="12">
        <v>9</v>
      </c>
      <c r="Q836" s="23" t="str">
        <f>VLOOKUP(H:H,'[1]雷雕處遮蔽&amp;艾仕得8844'!$A:$C,3,0)</f>
        <v>R</v>
      </c>
    </row>
    <row r="837" spans="1:17">
      <c r="A837" s="25">
        <v>46126</v>
      </c>
      <c r="B837" s="29">
        <v>0.54791666666666672</v>
      </c>
      <c r="C837" s="19">
        <v>46128</v>
      </c>
      <c r="D837" s="24" t="str">
        <f t="shared" si="122"/>
        <v>SYL</v>
      </c>
      <c r="E837" s="13" t="str">
        <f>VLOOKUP(D:D,工作表2!A:B,2,0)</f>
        <v>邦善</v>
      </c>
      <c r="F837" s="13" t="str">
        <f>VLOOKUP(D:D,工作表2!A:C,3,0)</f>
        <v>藍</v>
      </c>
      <c r="G837" s="17">
        <v>10321029</v>
      </c>
      <c r="H837" s="17" t="s">
        <v>424</v>
      </c>
      <c r="I837" s="18" t="s">
        <v>429</v>
      </c>
      <c r="J837" s="15">
        <v>280</v>
      </c>
      <c r="K837" s="15">
        <v>15</v>
      </c>
      <c r="L837" s="20">
        <f t="shared" si="123"/>
        <v>5.3571428571428568E-2</v>
      </c>
      <c r="M837" s="12">
        <v>11</v>
      </c>
      <c r="N837" s="12">
        <v>4</v>
      </c>
      <c r="Q837" s="23"/>
    </row>
    <row r="838" spans="1:17">
      <c r="A838" s="25">
        <v>46125</v>
      </c>
      <c r="B838" s="29">
        <v>0.61805555555555558</v>
      </c>
      <c r="C838" s="19">
        <v>46128</v>
      </c>
      <c r="D838" s="24" t="str">
        <f t="shared" si="122"/>
        <v>NRR</v>
      </c>
      <c r="E838" s="13" t="str">
        <f>VLOOKUP(D:D,工作表2!A:B,2,0)</f>
        <v>邦善</v>
      </c>
      <c r="F838" s="13" t="str">
        <f>VLOOKUP(D:D,工作表2!A:C,3,0)</f>
        <v>紅</v>
      </c>
      <c r="G838" s="17">
        <v>10321026</v>
      </c>
      <c r="H838" s="17" t="s">
        <v>1041</v>
      </c>
      <c r="I838" s="18" t="s">
        <v>1046</v>
      </c>
      <c r="J838" s="15">
        <v>360</v>
      </c>
      <c r="K838" s="15">
        <v>23</v>
      </c>
      <c r="L838" s="20">
        <f t="shared" si="123"/>
        <v>6.3888888888888884E-2</v>
      </c>
      <c r="M838" s="12">
        <v>20</v>
      </c>
      <c r="N838" s="12">
        <v>3</v>
      </c>
      <c r="Q838" s="23" t="str">
        <f>VLOOKUP(H:H,'[1]雷雕處遮蔽&amp;艾仕得8844'!$A:$C,3,0)</f>
        <v>R</v>
      </c>
    </row>
    <row r="839" spans="1:17">
      <c r="A839" s="25">
        <v>46127</v>
      </c>
      <c r="B839" s="29">
        <v>0.38541666666666669</v>
      </c>
      <c r="C839" s="19">
        <v>46128</v>
      </c>
      <c r="D839" s="24" t="str">
        <f t="shared" si="122"/>
        <v>BBB</v>
      </c>
      <c r="E839" s="13" t="str">
        <f>VLOOKUP(D:D,工作表2!A:B,2,0)</f>
        <v>邦善</v>
      </c>
      <c r="F839" s="13" t="str">
        <f>VLOOKUP(D:D,工作表2!A:C,3,0)</f>
        <v>霧面黑</v>
      </c>
      <c r="G839" s="17">
        <v>10327536</v>
      </c>
      <c r="H839" s="17" t="s">
        <v>514</v>
      </c>
      <c r="I839" s="18" t="s">
        <v>526</v>
      </c>
      <c r="J839" s="15">
        <v>134</v>
      </c>
      <c r="K839" s="15">
        <v>8</v>
      </c>
      <c r="L839" s="20">
        <f t="shared" si="123"/>
        <v>5.9701492537313432E-2</v>
      </c>
      <c r="M839" s="12">
        <v>6</v>
      </c>
      <c r="N839" s="12">
        <v>2</v>
      </c>
      <c r="Q839" s="23" t="str">
        <f>VLOOKUP(H:H,'[1]雷雕處遮蔽&amp;艾仕得8844'!$A:$C,3,0)</f>
        <v>0度頭蓋</v>
      </c>
    </row>
    <row r="840" spans="1:17">
      <c r="A840" s="25">
        <v>46131</v>
      </c>
      <c r="B840" s="29">
        <v>0.60555555555555551</v>
      </c>
      <c r="C840" s="11">
        <v>46129</v>
      </c>
      <c r="D840" s="24" t="str">
        <f t="shared" si="122"/>
        <v>NCB</v>
      </c>
      <c r="E840" s="13" t="str">
        <f>VLOOKUP(D:D,工作表2!A:B,2,0)</f>
        <v>邦善</v>
      </c>
      <c r="F840" s="13" t="str">
        <f>VLOOKUP(D:D,工作表2!A:C,3,0)</f>
        <v>黑</v>
      </c>
      <c r="G840" s="17">
        <v>10321892</v>
      </c>
      <c r="H840" s="17" t="s">
        <v>368</v>
      </c>
      <c r="I840" s="18" t="s">
        <v>370</v>
      </c>
      <c r="J840" s="15">
        <v>1596</v>
      </c>
      <c r="K840" s="15">
        <v>97</v>
      </c>
      <c r="L840" s="20">
        <f t="shared" si="123"/>
        <v>6.0776942355889721E-2</v>
      </c>
      <c r="M840" s="12">
        <v>90</v>
      </c>
      <c r="N840" s="12">
        <v>7</v>
      </c>
      <c r="Q840" s="23"/>
    </row>
    <row r="841" spans="1:17">
      <c r="A841" s="25">
        <v>46128</v>
      </c>
      <c r="B841" s="29">
        <v>0.39097222222222222</v>
      </c>
      <c r="C841" s="11">
        <v>46129</v>
      </c>
      <c r="D841" s="24" t="str">
        <f t="shared" si="122"/>
        <v>QRB</v>
      </c>
      <c r="E841" s="13" t="str">
        <f>VLOOKUP(D:D,工作表2!A:B,2,0)</f>
        <v>邦善</v>
      </c>
      <c r="F841" s="13" t="str">
        <f>VLOOKUP(D:D,工作表2!A:C,3,0)</f>
        <v>霧面黑</v>
      </c>
      <c r="G841" s="17">
        <v>10322353</v>
      </c>
      <c r="H841" s="17" t="s">
        <v>170</v>
      </c>
      <c r="I841" s="18" t="s">
        <v>171</v>
      </c>
      <c r="J841" s="15">
        <v>26600</v>
      </c>
      <c r="K841" s="15">
        <v>561</v>
      </c>
      <c r="L841" s="20">
        <f t="shared" si="123"/>
        <v>2.1090225563909774E-2</v>
      </c>
      <c r="M841" s="12">
        <v>412</v>
      </c>
      <c r="N841" s="12">
        <v>128</v>
      </c>
      <c r="O841" s="15">
        <v>21</v>
      </c>
      <c r="Q841" s="23"/>
    </row>
    <row r="842" spans="1:17">
      <c r="A842" s="25">
        <v>46126</v>
      </c>
      <c r="B842" s="29">
        <v>0.52222222222222225</v>
      </c>
      <c r="C842" s="19">
        <v>46129</v>
      </c>
      <c r="D842" s="24" t="str">
        <f t="shared" si="122"/>
        <v>Q9B</v>
      </c>
      <c r="E842" s="13" t="str">
        <f>VLOOKUP(D:D,工作表2!A:B,2,0)</f>
        <v>邦善</v>
      </c>
      <c r="F842" s="13" t="str">
        <f>VLOOKUP(D:D,工作表2!A:C,3,0)</f>
        <v>黑</v>
      </c>
      <c r="G842" s="17">
        <v>10321036</v>
      </c>
      <c r="H842" s="17" t="s">
        <v>730</v>
      </c>
      <c r="I842" s="18" t="s">
        <v>737</v>
      </c>
      <c r="J842" s="15">
        <v>360</v>
      </c>
      <c r="K842" s="15">
        <v>17</v>
      </c>
      <c r="L842" s="20">
        <f t="shared" si="123"/>
        <v>4.7222222222222221E-2</v>
      </c>
      <c r="M842" s="12">
        <v>15</v>
      </c>
      <c r="N842" s="12">
        <v>2</v>
      </c>
      <c r="Q842" s="23" t="str">
        <f>VLOOKUP(H:H,'[1]雷雕處遮蔽&amp;艾仕得8844'!$A:$C,3,0)</f>
        <v>R</v>
      </c>
    </row>
    <row r="843" spans="1:17">
      <c r="A843" s="25">
        <v>46126</v>
      </c>
      <c r="B843" s="29">
        <v>0.57152777777777775</v>
      </c>
      <c r="C843" s="19">
        <v>46129</v>
      </c>
      <c r="D843" s="24" t="str">
        <f t="shared" si="122"/>
        <v>RRA</v>
      </c>
      <c r="E843" s="13" t="str">
        <f>VLOOKUP(D:D,工作表2!A:B,2,0)</f>
        <v>邦善</v>
      </c>
      <c r="F843" s="13" t="str">
        <f>VLOOKUP(D:D,工作表2!A:C,3,0)</f>
        <v>灰</v>
      </c>
      <c r="G843" s="17">
        <v>10321900</v>
      </c>
      <c r="H843" s="17" t="s">
        <v>393</v>
      </c>
      <c r="I843" s="18" t="s">
        <v>395</v>
      </c>
      <c r="J843" s="15">
        <v>240</v>
      </c>
      <c r="K843" s="15">
        <v>8</v>
      </c>
      <c r="L843" s="20">
        <f t="shared" si="123"/>
        <v>3.3333333333333333E-2</v>
      </c>
      <c r="M843" s="12">
        <v>6</v>
      </c>
      <c r="N843" s="12">
        <v>2</v>
      </c>
      <c r="Q843" s="23"/>
    </row>
    <row r="844" spans="1:17">
      <c r="A844" s="25">
        <v>46127</v>
      </c>
      <c r="B844" s="29">
        <v>0.62847222222222221</v>
      </c>
      <c r="C844" s="19">
        <v>46129</v>
      </c>
      <c r="D844" s="24" t="str">
        <f t="shared" si="122"/>
        <v>QFA</v>
      </c>
      <c r="E844" s="13" t="str">
        <f>VLOOKUP(D:D,工作表2!A:B,2,0)</f>
        <v>邦善</v>
      </c>
      <c r="F844" s="13" t="str">
        <f>VLOOKUP(D:D,工作表2!A:C,3,0)</f>
        <v>灰</v>
      </c>
      <c r="G844" s="17">
        <v>10321032</v>
      </c>
      <c r="H844" s="17" t="s">
        <v>630</v>
      </c>
      <c r="I844" s="18" t="s">
        <v>636</v>
      </c>
      <c r="J844" s="15">
        <v>520</v>
      </c>
      <c r="K844" s="15">
        <v>28</v>
      </c>
      <c r="L844" s="20">
        <f t="shared" si="123"/>
        <v>5.3846153846153849E-2</v>
      </c>
      <c r="M844" s="12">
        <v>23</v>
      </c>
      <c r="N844" s="12">
        <v>5</v>
      </c>
      <c r="Q844" s="23"/>
    </row>
    <row r="845" spans="1:17">
      <c r="A845" s="25">
        <v>46127</v>
      </c>
      <c r="B845" s="29">
        <v>0.62847222222222221</v>
      </c>
      <c r="C845" s="19">
        <v>46129</v>
      </c>
      <c r="D845" s="24" t="str">
        <f t="shared" si="122"/>
        <v>QFA</v>
      </c>
      <c r="E845" s="13" t="str">
        <f>VLOOKUP(D:D,工作表2!A:B,2,0)</f>
        <v>邦善</v>
      </c>
      <c r="F845" s="13" t="str">
        <f>VLOOKUP(D:D,工作表2!A:C,3,0)</f>
        <v>灰</v>
      </c>
      <c r="G845" s="17">
        <v>10321902</v>
      </c>
      <c r="H845" s="17" t="s">
        <v>630</v>
      </c>
      <c r="I845" s="18" t="s">
        <v>636</v>
      </c>
      <c r="J845" s="15">
        <v>280</v>
      </c>
      <c r="K845" s="15">
        <v>15</v>
      </c>
      <c r="L845" s="20">
        <f t="shared" si="123"/>
        <v>5.3571428571428568E-2</v>
      </c>
      <c r="M845" s="12">
        <v>10</v>
      </c>
      <c r="N845" s="12">
        <v>5</v>
      </c>
      <c r="Q845" s="23"/>
    </row>
    <row r="846" spans="1:17">
      <c r="A846" s="25">
        <v>46127</v>
      </c>
      <c r="B846" s="29">
        <v>0.46527777777777773</v>
      </c>
      <c r="C846" s="19">
        <v>46129</v>
      </c>
      <c r="D846" s="24" t="str">
        <f t="shared" si="122"/>
        <v>TZB</v>
      </c>
      <c r="E846" s="13" t="str">
        <f>VLOOKUP(D:D,工作表2!A:B,2,0)</f>
        <v>邦善</v>
      </c>
      <c r="F846" s="13" t="str">
        <f>VLOOKUP(D:D,工作表2!A:C,3,0)</f>
        <v>黑</v>
      </c>
      <c r="G846" s="17">
        <v>10321581</v>
      </c>
      <c r="H846" s="17" t="s">
        <v>644</v>
      </c>
      <c r="I846" s="18" t="s">
        <v>654</v>
      </c>
      <c r="J846" s="15">
        <v>8512</v>
      </c>
      <c r="K846" s="15">
        <v>264</v>
      </c>
      <c r="L846" s="20">
        <f t="shared" si="123"/>
        <v>3.1015037593984961E-2</v>
      </c>
      <c r="M846" s="12">
        <v>241</v>
      </c>
      <c r="N846" s="12">
        <v>23</v>
      </c>
      <c r="Q846" s="23"/>
    </row>
    <row r="847" spans="1:17">
      <c r="A847" s="25">
        <v>46127</v>
      </c>
      <c r="B847" s="29">
        <v>0.4055555555555555</v>
      </c>
      <c r="C847" s="19">
        <v>46129</v>
      </c>
      <c r="D847" s="24" t="str">
        <f t="shared" si="122"/>
        <v>Q9B</v>
      </c>
      <c r="E847" s="13" t="str">
        <f>VLOOKUP(D:D,工作表2!A:B,2,0)</f>
        <v>邦善</v>
      </c>
      <c r="F847" s="13" t="str">
        <f>VLOOKUP(D:D,工作表2!A:C,3,0)</f>
        <v>黑</v>
      </c>
      <c r="G847" s="17">
        <v>10321023</v>
      </c>
      <c r="H847" s="17" t="s">
        <v>1052</v>
      </c>
      <c r="I847" s="18" t="s">
        <v>1053</v>
      </c>
      <c r="J847" s="15">
        <v>440</v>
      </c>
      <c r="K847" s="15">
        <v>47</v>
      </c>
      <c r="L847" s="20">
        <f t="shared" si="123"/>
        <v>0.10681818181818181</v>
      </c>
      <c r="M847" s="12">
        <v>40</v>
      </c>
      <c r="N847" s="12">
        <v>7</v>
      </c>
      <c r="Q847" s="23" t="str">
        <f>VLOOKUP(H:H,'[1]雷雕處遮蔽&amp;艾仕得8844'!$A:$C,3,0)</f>
        <v>L</v>
      </c>
    </row>
    <row r="848" spans="1:17">
      <c r="A848" s="25">
        <v>46127</v>
      </c>
      <c r="B848" s="29">
        <v>0.62152777777777779</v>
      </c>
      <c r="C848" s="19">
        <v>46129</v>
      </c>
      <c r="D848" s="24" t="str">
        <f t="shared" si="122"/>
        <v>TUR</v>
      </c>
      <c r="E848" s="13" t="str">
        <f>VLOOKUP(D:D,工作表2!A:B,2,0)</f>
        <v>邦善</v>
      </c>
      <c r="F848" s="13" t="str">
        <f>VLOOKUP(D:D,工作表2!A:C,3,0)</f>
        <v>紅</v>
      </c>
      <c r="G848" s="17">
        <v>10321911</v>
      </c>
      <c r="H848" s="17" t="s">
        <v>611</v>
      </c>
      <c r="I848" s="18" t="s">
        <v>621</v>
      </c>
      <c r="J848" s="15">
        <v>1596</v>
      </c>
      <c r="K848" s="15">
        <v>83</v>
      </c>
      <c r="L848" s="20">
        <f t="shared" si="123"/>
        <v>5.2005012531328318E-2</v>
      </c>
      <c r="M848" s="12">
        <v>77</v>
      </c>
      <c r="N848" s="12">
        <v>6</v>
      </c>
      <c r="Q848" s="23"/>
    </row>
    <row r="849" spans="1:17">
      <c r="A849" s="25">
        <v>46127</v>
      </c>
      <c r="B849" s="29">
        <v>0.39027777777777778</v>
      </c>
      <c r="C849" s="19">
        <v>46129</v>
      </c>
      <c r="D849" s="24" t="str">
        <f t="shared" si="122"/>
        <v>NBB</v>
      </c>
      <c r="E849" s="13" t="str">
        <f>VLOOKUP(D:D,工作表2!A:B,2,0)</f>
        <v>邦善</v>
      </c>
      <c r="F849" s="13" t="str">
        <f>VLOOKUP(D:D,工作表2!A:C,3,0)</f>
        <v>霧面黑</v>
      </c>
      <c r="G849" s="17">
        <v>10321922</v>
      </c>
      <c r="H849" s="17" t="s">
        <v>369</v>
      </c>
      <c r="I849" s="18" t="s">
        <v>371</v>
      </c>
      <c r="J849" s="15">
        <v>1330</v>
      </c>
      <c r="K849" s="15">
        <v>68</v>
      </c>
      <c r="L849" s="20">
        <f t="shared" si="123"/>
        <v>5.1127819548872182E-2</v>
      </c>
      <c r="M849" s="12">
        <v>56</v>
      </c>
      <c r="N849" s="12">
        <v>12</v>
      </c>
      <c r="Q849" s="23"/>
    </row>
    <row r="850" spans="1:17">
      <c r="A850" s="25">
        <v>46126</v>
      </c>
      <c r="B850" s="29">
        <v>0.6069444444444444</v>
      </c>
      <c r="C850" s="19">
        <v>46129</v>
      </c>
      <c r="D850" s="24" t="str">
        <f t="shared" si="122"/>
        <v>RRA</v>
      </c>
      <c r="E850" s="13" t="str">
        <f>VLOOKUP(D:D,工作表2!A:B,2,0)</f>
        <v>邦善</v>
      </c>
      <c r="F850" s="13" t="str">
        <f>VLOOKUP(D:D,工作表2!A:C,3,0)</f>
        <v>灰</v>
      </c>
      <c r="G850" s="17">
        <v>10321924</v>
      </c>
      <c r="H850" s="17" t="s">
        <v>544</v>
      </c>
      <c r="I850" s="18" t="s">
        <v>555</v>
      </c>
      <c r="J850" s="15">
        <v>532</v>
      </c>
      <c r="K850" s="15">
        <v>36</v>
      </c>
      <c r="L850" s="20">
        <f t="shared" si="123"/>
        <v>6.7669172932330823E-2</v>
      </c>
      <c r="M850" s="12">
        <v>26</v>
      </c>
      <c r="N850" s="12">
        <v>10</v>
      </c>
      <c r="Q850" s="23"/>
    </row>
    <row r="851" spans="1:17">
      <c r="A851" s="25">
        <v>46127</v>
      </c>
      <c r="B851" s="29">
        <v>0.65555555555555556</v>
      </c>
      <c r="C851" s="19">
        <v>46129</v>
      </c>
      <c r="D851" s="24" t="str">
        <f t="shared" si="122"/>
        <v>QFA</v>
      </c>
      <c r="E851" s="13" t="str">
        <f>VLOOKUP(D:D,工作表2!A:B,2,0)</f>
        <v>邦善</v>
      </c>
      <c r="F851" s="13" t="str">
        <f>VLOOKUP(D:D,工作表2!A:C,3,0)</f>
        <v>灰</v>
      </c>
      <c r="G851" s="17">
        <v>10321033</v>
      </c>
      <c r="H851" s="17" t="s">
        <v>752</v>
      </c>
      <c r="I851" s="18" t="s">
        <v>755</v>
      </c>
      <c r="J851" s="15">
        <v>440</v>
      </c>
      <c r="K851" s="15">
        <v>6</v>
      </c>
      <c r="L851" s="20">
        <f t="shared" si="123"/>
        <v>1.3636363636363636E-2</v>
      </c>
      <c r="M851" s="12">
        <v>4</v>
      </c>
      <c r="N851" s="12">
        <v>2</v>
      </c>
      <c r="Q851" s="23"/>
    </row>
    <row r="852" spans="1:17">
      <c r="C852" s="19">
        <v>46129</v>
      </c>
      <c r="D852" s="24" t="str">
        <f t="shared" si="122"/>
        <v>S3B</v>
      </c>
      <c r="E852" s="13" t="str">
        <f>VLOOKUP(D:D,工作表2!A:B,2,0)</f>
        <v>邦善</v>
      </c>
      <c r="F852" s="13" t="str">
        <f>VLOOKUP(D:D,工作表2!A:C,3,0)</f>
        <v>黑</v>
      </c>
      <c r="G852" s="17">
        <v>10321891</v>
      </c>
      <c r="H852" s="17" t="s">
        <v>375</v>
      </c>
      <c r="I852" s="18" t="s">
        <v>379</v>
      </c>
      <c r="J852" s="15">
        <v>1330</v>
      </c>
      <c r="K852" s="15">
        <v>111</v>
      </c>
      <c r="L852" s="20">
        <f t="shared" si="123"/>
        <v>8.3458646616541357E-2</v>
      </c>
      <c r="M852" s="12">
        <v>97</v>
      </c>
      <c r="N852" s="12">
        <v>14</v>
      </c>
      <c r="Q852" s="23"/>
    </row>
    <row r="853" spans="1:17">
      <c r="A853" s="25">
        <v>46127</v>
      </c>
      <c r="B853" s="29">
        <v>0.53749999999999998</v>
      </c>
      <c r="C853" s="19">
        <v>46129</v>
      </c>
      <c r="D853" s="24" t="str">
        <f t="shared" si="122"/>
        <v>TZB</v>
      </c>
      <c r="E853" s="13" t="str">
        <f>VLOOKUP(D:D,工作表2!A:B,2,0)</f>
        <v>邦善</v>
      </c>
      <c r="F853" s="13" t="str">
        <f>VLOOKUP(D:D,工作表2!A:C,3,0)</f>
        <v>黑</v>
      </c>
      <c r="G853" s="17">
        <v>10321910</v>
      </c>
      <c r="H853" s="17" t="s">
        <v>644</v>
      </c>
      <c r="I853" s="18" t="s">
        <v>654</v>
      </c>
      <c r="J853" s="15">
        <v>1862</v>
      </c>
      <c r="K853" s="15">
        <v>73</v>
      </c>
      <c r="L853" s="20">
        <f t="shared" si="123"/>
        <v>3.9205155746509131E-2</v>
      </c>
      <c r="M853" s="12">
        <v>62</v>
      </c>
      <c r="N853" s="12">
        <v>11</v>
      </c>
      <c r="Q853" s="23"/>
    </row>
    <row r="854" spans="1:17">
      <c r="A854" s="25">
        <v>46127</v>
      </c>
      <c r="B854" s="29">
        <v>0.39861111111111108</v>
      </c>
      <c r="C854" s="11">
        <v>46132</v>
      </c>
      <c r="D854" s="24" t="str">
        <f t="shared" ref="D854:D862" si="124">RIGHT(I854,3)</f>
        <v>PLB</v>
      </c>
      <c r="E854" s="13" t="str">
        <f>VLOOKUP(D:D,工作表2!A:B,2,0)</f>
        <v>邦善</v>
      </c>
      <c r="F854" s="13" t="str">
        <f>VLOOKUP(D:D,工作表2!A:C,3,0)</f>
        <v>霧面黑</v>
      </c>
      <c r="G854" s="17">
        <v>10322675</v>
      </c>
      <c r="H854" s="17" t="s">
        <v>408</v>
      </c>
      <c r="I854" s="18" t="s">
        <v>411</v>
      </c>
      <c r="J854" s="15">
        <v>1596</v>
      </c>
      <c r="K854" s="15">
        <v>66</v>
      </c>
      <c r="L854" s="20">
        <f t="shared" ref="L854:L862" si="125">K854/J854</f>
        <v>4.1353383458646614E-2</v>
      </c>
      <c r="M854" s="12">
        <v>62</v>
      </c>
      <c r="N854" s="12">
        <v>4</v>
      </c>
      <c r="Q854" s="23"/>
    </row>
    <row r="855" spans="1:17">
      <c r="A855" s="25">
        <v>46128</v>
      </c>
      <c r="B855" s="29">
        <v>0.60277777777777775</v>
      </c>
      <c r="C855" s="11">
        <v>46132</v>
      </c>
      <c r="D855" s="24" t="str">
        <f t="shared" si="124"/>
        <v>Q9B</v>
      </c>
      <c r="E855" s="13" t="str">
        <f>VLOOKUP(D:D,工作表2!A:B,2,0)</f>
        <v>邦善</v>
      </c>
      <c r="F855" s="13" t="str">
        <f>VLOOKUP(D:D,工作表2!A:C,3,0)</f>
        <v>黑</v>
      </c>
      <c r="G855" s="17">
        <v>10321923</v>
      </c>
      <c r="H855" s="17" t="s">
        <v>376</v>
      </c>
      <c r="I855" s="18" t="s">
        <v>380</v>
      </c>
      <c r="J855" s="15">
        <v>1064</v>
      </c>
      <c r="K855" s="15">
        <v>67</v>
      </c>
      <c r="L855" s="20">
        <f t="shared" si="125"/>
        <v>6.2969924812030079E-2</v>
      </c>
      <c r="M855" s="12">
        <v>50</v>
      </c>
      <c r="N855" s="12">
        <v>17</v>
      </c>
      <c r="Q855" s="23"/>
    </row>
    <row r="856" spans="1:17">
      <c r="A856" s="25">
        <v>46128</v>
      </c>
      <c r="B856" s="29">
        <v>0.61111111111111105</v>
      </c>
      <c r="C856" s="19">
        <v>46132</v>
      </c>
      <c r="D856" s="24" t="str">
        <f t="shared" si="124"/>
        <v>UUS</v>
      </c>
      <c r="E856" s="13" t="str">
        <f>VLOOKUP(D:D,工作表2!A:B,2,0)</f>
        <v>邦善</v>
      </c>
      <c r="F856" s="13" t="str">
        <f>VLOOKUP(D:D,工作表2!A:C,3,0)</f>
        <v>銀</v>
      </c>
      <c r="G856" s="17">
        <v>10321888</v>
      </c>
      <c r="H856" s="17" t="s">
        <v>418</v>
      </c>
      <c r="I856" s="18" t="s">
        <v>421</v>
      </c>
      <c r="J856" s="15">
        <v>532</v>
      </c>
      <c r="K856" s="15">
        <v>11</v>
      </c>
      <c r="L856" s="20">
        <f t="shared" si="125"/>
        <v>2.0676691729323307E-2</v>
      </c>
      <c r="M856" s="12">
        <v>9</v>
      </c>
      <c r="N856" s="12">
        <v>2</v>
      </c>
      <c r="Q856" s="23"/>
    </row>
    <row r="857" spans="1:17">
      <c r="A857" s="25">
        <v>46129</v>
      </c>
      <c r="B857" s="29">
        <v>0.47638888888888892</v>
      </c>
      <c r="C857" s="19">
        <v>46132</v>
      </c>
      <c r="D857" s="24" t="str">
        <f t="shared" si="124"/>
        <v>QRB</v>
      </c>
      <c r="E857" s="13" t="str">
        <f>VLOOKUP(D:D,工作表2!A:B,2,0)</f>
        <v>邦善</v>
      </c>
      <c r="F857" s="13" t="str">
        <f>VLOOKUP(D:D,工作表2!A:C,3,0)</f>
        <v>霧面黑</v>
      </c>
      <c r="G857" s="17">
        <v>10327376</v>
      </c>
      <c r="H857" s="17" t="s">
        <v>170</v>
      </c>
      <c r="I857" s="18" t="s">
        <v>171</v>
      </c>
      <c r="J857" s="15">
        <v>19950</v>
      </c>
      <c r="K857" s="15">
        <v>369</v>
      </c>
      <c r="L857" s="20">
        <f t="shared" si="125"/>
        <v>1.8496240601503761E-2</v>
      </c>
      <c r="M857" s="12">
        <v>214</v>
      </c>
      <c r="N857" s="12">
        <v>152</v>
      </c>
      <c r="O857" s="15">
        <v>3</v>
      </c>
      <c r="Q857" s="23"/>
    </row>
    <row r="858" spans="1:17">
      <c r="A858" s="25">
        <v>46128</v>
      </c>
      <c r="B858" s="29">
        <v>0.52500000000000002</v>
      </c>
      <c r="C858" s="19">
        <v>46132</v>
      </c>
      <c r="D858" s="24" t="str">
        <f t="shared" si="124"/>
        <v>N8B</v>
      </c>
      <c r="E858" s="13" t="str">
        <f>VLOOKUP(D:D,工作表2!A:B,2,0)</f>
        <v>邦善</v>
      </c>
      <c r="F858" s="13" t="str">
        <f>VLOOKUP(D:D,工作表2!A:C,3,0)</f>
        <v>霧面黑</v>
      </c>
      <c r="G858" s="17">
        <v>10321583</v>
      </c>
      <c r="H858" s="17" t="s">
        <v>5</v>
      </c>
      <c r="I858" s="18" t="s">
        <v>6</v>
      </c>
      <c r="J858" s="15">
        <v>5054</v>
      </c>
      <c r="K858" s="15">
        <v>66</v>
      </c>
      <c r="L858" s="20">
        <f t="shared" si="125"/>
        <v>1.3058963197467353E-2</v>
      </c>
      <c r="M858" s="12">
        <v>60</v>
      </c>
      <c r="N858" s="12">
        <v>6</v>
      </c>
      <c r="Q858" s="23"/>
    </row>
    <row r="859" spans="1:17">
      <c r="A859" s="25">
        <v>46126</v>
      </c>
      <c r="B859" s="29">
        <v>0.58472222222222225</v>
      </c>
      <c r="C859" s="19">
        <v>46132</v>
      </c>
      <c r="D859" s="24" t="str">
        <f t="shared" si="124"/>
        <v>RRA</v>
      </c>
      <c r="E859" s="13" t="str">
        <f>VLOOKUP(D:D,工作表2!A:B,2,0)</f>
        <v>邦善</v>
      </c>
      <c r="F859" s="13" t="str">
        <f>VLOOKUP(D:D,工作表2!A:C,3,0)</f>
        <v>灰</v>
      </c>
      <c r="G859" s="17">
        <v>10321894</v>
      </c>
      <c r="H859" s="17" t="s">
        <v>968</v>
      </c>
      <c r="I859" s="18" t="s">
        <v>973</v>
      </c>
      <c r="J859" s="15">
        <v>320</v>
      </c>
      <c r="K859" s="15">
        <v>21</v>
      </c>
      <c r="L859" s="20">
        <f t="shared" si="125"/>
        <v>6.5625000000000003E-2</v>
      </c>
      <c r="M859" s="12">
        <v>18</v>
      </c>
      <c r="N859" s="12">
        <v>3</v>
      </c>
      <c r="Q859" s="23" t="str">
        <f>VLOOKUP(H:H,'[1]雷雕處遮蔽&amp;艾仕得8844'!$A:$C,3,0)</f>
        <v>L</v>
      </c>
    </row>
    <row r="860" spans="1:17">
      <c r="A860" s="25">
        <v>46126</v>
      </c>
      <c r="B860" s="29">
        <v>0.58472222222222225</v>
      </c>
      <c r="C860" s="19">
        <v>46132</v>
      </c>
      <c r="D860" s="24" t="str">
        <f t="shared" si="124"/>
        <v>RRA</v>
      </c>
      <c r="E860" s="13" t="str">
        <f>VLOOKUP(D:D,工作表2!A:B,2,0)</f>
        <v>邦善</v>
      </c>
      <c r="F860" s="13" t="str">
        <f>VLOOKUP(D:D,工作表2!A:C,3,0)</f>
        <v>灰</v>
      </c>
      <c r="G860" s="17">
        <v>10321020</v>
      </c>
      <c r="H860" s="17" t="s">
        <v>968</v>
      </c>
      <c r="I860" s="18" t="s">
        <v>973</v>
      </c>
      <c r="J860" s="15">
        <v>480</v>
      </c>
      <c r="K860" s="15">
        <v>30</v>
      </c>
      <c r="L860" s="20">
        <f t="shared" si="125"/>
        <v>6.25E-2</v>
      </c>
      <c r="M860" s="12">
        <v>20</v>
      </c>
      <c r="N860" s="12">
        <v>10</v>
      </c>
      <c r="Q860" s="23" t="str">
        <f>VLOOKUP(H:H,'[1]雷雕處遮蔽&amp;艾仕得8844'!$A:$C,3,0)</f>
        <v>L</v>
      </c>
    </row>
    <row r="861" spans="1:17">
      <c r="A861" s="25">
        <v>46126</v>
      </c>
      <c r="B861" s="29">
        <v>0.57500000000000007</v>
      </c>
      <c r="C861" s="19">
        <v>46132</v>
      </c>
      <c r="D861" s="24" t="str">
        <f t="shared" si="124"/>
        <v>RRA</v>
      </c>
      <c r="E861" s="13" t="str">
        <f>VLOOKUP(D:D,工作表2!A:B,2,0)</f>
        <v>邦善</v>
      </c>
      <c r="F861" s="13" t="str">
        <f>VLOOKUP(D:D,工作表2!A:C,3,0)</f>
        <v>灰</v>
      </c>
      <c r="G861" s="17">
        <v>10321895</v>
      </c>
      <c r="H861" s="17" t="s">
        <v>995</v>
      </c>
      <c r="I861" s="18" t="s">
        <v>996</v>
      </c>
      <c r="J861" s="15">
        <v>320</v>
      </c>
      <c r="K861" s="15">
        <v>15</v>
      </c>
      <c r="L861" s="20">
        <f t="shared" si="125"/>
        <v>4.6875E-2</v>
      </c>
      <c r="M861" s="12">
        <v>10</v>
      </c>
      <c r="N861" s="12">
        <v>5</v>
      </c>
      <c r="Q861" s="23" t="str">
        <f>VLOOKUP(H:H,'[1]雷雕處遮蔽&amp;艾仕得8844'!$A:$C,3,0)</f>
        <v>R</v>
      </c>
    </row>
    <row r="862" spans="1:17">
      <c r="A862" s="25">
        <v>46128</v>
      </c>
      <c r="B862" s="29">
        <v>0.54791666666666672</v>
      </c>
      <c r="C862" s="19">
        <v>46132</v>
      </c>
      <c r="D862" s="24" t="str">
        <f t="shared" si="124"/>
        <v>Q9B</v>
      </c>
      <c r="E862" s="13" t="str">
        <f>VLOOKUP(D:D,工作表2!A:B,2,0)</f>
        <v>邦善</v>
      </c>
      <c r="F862" s="13" t="str">
        <f>VLOOKUP(D:D,工作表2!A:C,3,0)</f>
        <v>黑</v>
      </c>
      <c r="G862" s="17">
        <v>10321038</v>
      </c>
      <c r="H862" s="17" t="s">
        <v>816</v>
      </c>
      <c r="I862" s="18" t="s">
        <v>825</v>
      </c>
      <c r="J862" s="15">
        <v>880</v>
      </c>
      <c r="K862" s="15">
        <v>191</v>
      </c>
      <c r="L862" s="20">
        <f t="shared" si="125"/>
        <v>0.21704545454545454</v>
      </c>
      <c r="M862" s="12">
        <v>156</v>
      </c>
      <c r="N862" s="12">
        <v>35</v>
      </c>
      <c r="Q862" s="23" t="str">
        <f>VLOOKUP(H:H,'[1]雷雕處遮蔽&amp;艾仕得8844'!$A:$C,3,0)</f>
        <v>R</v>
      </c>
    </row>
    <row r="863" spans="1:17">
      <c r="A863" s="25">
        <v>46132</v>
      </c>
      <c r="B863" s="29">
        <v>0.3888888888888889</v>
      </c>
      <c r="C863" s="11">
        <v>46133</v>
      </c>
      <c r="D863" s="24" t="str">
        <f t="shared" ref="D863:D870" si="126">RIGHT(I863,3)</f>
        <v>QRB</v>
      </c>
      <c r="E863" s="13" t="str">
        <f>VLOOKUP(D:D,工作表2!A:B,2,0)</f>
        <v>邦善</v>
      </c>
      <c r="F863" s="13" t="str">
        <f>VLOOKUP(D:D,工作表2!A:C,3,0)</f>
        <v>霧面黑</v>
      </c>
      <c r="G863" s="17">
        <v>10327377</v>
      </c>
      <c r="H863" s="17" t="s">
        <v>170</v>
      </c>
      <c r="I863" s="18" t="s">
        <v>171</v>
      </c>
      <c r="J863" s="15">
        <v>25004</v>
      </c>
      <c r="K863" s="15">
        <v>644</v>
      </c>
      <c r="L863" s="20">
        <f t="shared" ref="L863:L870" si="127">K863/J863</f>
        <v>2.5755879059350503E-2</v>
      </c>
      <c r="M863" s="12">
        <v>400</v>
      </c>
      <c r="N863" s="12">
        <v>230</v>
      </c>
      <c r="O863" s="15">
        <v>14</v>
      </c>
      <c r="Q863" s="23"/>
    </row>
    <row r="864" spans="1:17">
      <c r="A864" s="25">
        <v>46129</v>
      </c>
      <c r="B864" s="29">
        <v>0.59305555555555556</v>
      </c>
      <c r="C864" s="11">
        <v>46133</v>
      </c>
      <c r="D864" s="24" t="str">
        <f t="shared" si="126"/>
        <v>QSB</v>
      </c>
      <c r="E864" s="13" t="str">
        <f>VLOOKUP(D:D,工作表2!A:B,2,0)</f>
        <v>邦善</v>
      </c>
      <c r="F864" s="13" t="str">
        <f>VLOOKUP(D:D,工作表2!A:C,3,0)</f>
        <v>黑</v>
      </c>
      <c r="G864" s="17">
        <v>10327373</v>
      </c>
      <c r="H864" s="17" t="s">
        <v>583</v>
      </c>
      <c r="I864" s="18" t="s">
        <v>587</v>
      </c>
      <c r="J864" s="15">
        <v>6650</v>
      </c>
      <c r="K864" s="15">
        <v>172</v>
      </c>
      <c r="L864" s="20">
        <f t="shared" si="127"/>
        <v>2.5864661654135337E-2</v>
      </c>
      <c r="M864" s="12">
        <v>160</v>
      </c>
      <c r="N864" s="12">
        <v>12</v>
      </c>
      <c r="Q864" s="23"/>
    </row>
    <row r="865" spans="1:17">
      <c r="A865" s="25">
        <v>46128</v>
      </c>
      <c r="B865" s="29">
        <v>0.61527777777777781</v>
      </c>
      <c r="C865" s="19">
        <v>46133</v>
      </c>
      <c r="D865" s="24" t="str">
        <f t="shared" si="126"/>
        <v>18A</v>
      </c>
      <c r="E865" s="13" t="str">
        <f>VLOOKUP(D:D,工作表2!A:B,2,0)</f>
        <v>邦善</v>
      </c>
      <c r="F865" s="13" t="str">
        <f>VLOOKUP(D:D,工作表2!A:C,3,0)</f>
        <v>灰</v>
      </c>
      <c r="G865" s="17">
        <v>10326850</v>
      </c>
      <c r="H865" s="17" t="s">
        <v>1054</v>
      </c>
      <c r="I865" s="18" t="s">
        <v>1055</v>
      </c>
      <c r="J865" s="15">
        <v>30</v>
      </c>
      <c r="K865" s="15">
        <v>2</v>
      </c>
      <c r="L865" s="20">
        <f t="shared" si="127"/>
        <v>6.6666666666666666E-2</v>
      </c>
      <c r="M865" s="12">
        <v>2</v>
      </c>
      <c r="Q865" s="23"/>
    </row>
    <row r="866" spans="1:17">
      <c r="A866" s="25">
        <v>46126</v>
      </c>
      <c r="B866" s="29">
        <v>0.55833333333333335</v>
      </c>
      <c r="C866" s="19">
        <v>46133</v>
      </c>
      <c r="D866" s="24" t="str">
        <f t="shared" si="126"/>
        <v>SYL</v>
      </c>
      <c r="E866" s="13" t="str">
        <f>VLOOKUP(D:D,工作表2!A:B,2,0)</f>
        <v>邦善</v>
      </c>
      <c r="F866" s="13" t="str">
        <f>VLOOKUP(D:D,工作表2!A:C,3,0)</f>
        <v>藍</v>
      </c>
      <c r="G866" s="17">
        <v>10321898</v>
      </c>
      <c r="H866" s="17" t="s">
        <v>835</v>
      </c>
      <c r="I866" s="18" t="s">
        <v>836</v>
      </c>
      <c r="J866" s="15">
        <v>360</v>
      </c>
      <c r="K866" s="15">
        <v>23</v>
      </c>
      <c r="L866" s="20">
        <f t="shared" si="127"/>
        <v>6.3888888888888884E-2</v>
      </c>
      <c r="M866" s="12">
        <v>15</v>
      </c>
      <c r="N866" s="12">
        <v>8</v>
      </c>
      <c r="Q866" s="23" t="str">
        <f>VLOOKUP(H:H,'[1]雷雕處遮蔽&amp;艾仕得8844'!$A:$C,3,0)</f>
        <v>L</v>
      </c>
    </row>
    <row r="867" spans="1:17">
      <c r="A867" s="25">
        <v>46126</v>
      </c>
      <c r="B867" s="29">
        <v>0.55347222222222225</v>
      </c>
      <c r="C867" s="19">
        <v>46133</v>
      </c>
      <c r="D867" s="24" t="str">
        <f t="shared" si="126"/>
        <v>SYL</v>
      </c>
      <c r="E867" s="13" t="str">
        <f>VLOOKUP(D:D,工作表2!A:B,2,0)</f>
        <v>邦善</v>
      </c>
      <c r="F867" s="13" t="str">
        <f>VLOOKUP(D:D,工作表2!A:C,3,0)</f>
        <v>藍</v>
      </c>
      <c r="G867" s="17">
        <v>10321903</v>
      </c>
      <c r="H867" s="17" t="s">
        <v>842</v>
      </c>
      <c r="I867" s="18" t="s">
        <v>855</v>
      </c>
      <c r="J867" s="15">
        <v>240</v>
      </c>
      <c r="K867" s="15">
        <v>7</v>
      </c>
      <c r="L867" s="20">
        <f t="shared" si="127"/>
        <v>2.9166666666666667E-2</v>
      </c>
      <c r="M867" s="12">
        <v>5</v>
      </c>
      <c r="N867" s="12">
        <v>2</v>
      </c>
      <c r="Q867" s="23"/>
    </row>
    <row r="868" spans="1:17">
      <c r="A868" s="25">
        <v>46129</v>
      </c>
      <c r="B868" s="29">
        <v>0.46249999999999997</v>
      </c>
      <c r="C868" s="19">
        <v>46133</v>
      </c>
      <c r="D868" s="24" t="str">
        <f t="shared" si="126"/>
        <v>Q9B</v>
      </c>
      <c r="E868" s="13" t="str">
        <f>VLOOKUP(D:D,工作表2!A:B,2,0)</f>
        <v>邦善</v>
      </c>
      <c r="F868" s="13" t="str">
        <f>VLOOKUP(D:D,工作表2!A:C,3,0)</f>
        <v>黑</v>
      </c>
      <c r="G868" s="17">
        <v>10321905</v>
      </c>
      <c r="H868" s="17" t="s">
        <v>967</v>
      </c>
      <c r="I868" s="18" t="s">
        <v>972</v>
      </c>
      <c r="J868" s="15">
        <v>350</v>
      </c>
      <c r="K868" s="15">
        <v>39</v>
      </c>
      <c r="L868" s="20">
        <f t="shared" si="127"/>
        <v>0.11142857142857143</v>
      </c>
      <c r="M868" s="12">
        <v>29</v>
      </c>
      <c r="N868" s="12">
        <v>10</v>
      </c>
      <c r="P868" s="32" t="s">
        <v>1075</v>
      </c>
      <c r="Q868" s="23" t="str">
        <f>VLOOKUP(H:H,'[1]雷雕處遮蔽&amp;艾仕得8844'!$A:$C,3,0)</f>
        <v>R</v>
      </c>
    </row>
    <row r="869" spans="1:17">
      <c r="A869" s="25">
        <v>46128</v>
      </c>
      <c r="B869" s="29">
        <v>0.57986111111111105</v>
      </c>
      <c r="C869" s="19">
        <v>46133</v>
      </c>
      <c r="D869" s="24" t="str">
        <f t="shared" si="126"/>
        <v>Q9B</v>
      </c>
      <c r="E869" s="13" t="str">
        <f>VLOOKUP(D:D,工作表2!A:B,2,0)</f>
        <v>邦善</v>
      </c>
      <c r="F869" s="13" t="str">
        <f>VLOOKUP(D:D,工作表2!A:C,3,0)</f>
        <v>黑</v>
      </c>
      <c r="G869" s="17">
        <v>10321904</v>
      </c>
      <c r="H869" s="17" t="s">
        <v>967</v>
      </c>
      <c r="I869" s="18" t="s">
        <v>972</v>
      </c>
      <c r="J869" s="15">
        <v>1000</v>
      </c>
      <c r="K869" s="15">
        <v>176</v>
      </c>
      <c r="L869" s="20">
        <f t="shared" si="127"/>
        <v>0.17599999999999999</v>
      </c>
      <c r="M869" s="12">
        <v>144</v>
      </c>
      <c r="N869" s="12">
        <v>32</v>
      </c>
      <c r="P869" s="32" t="s">
        <v>1076</v>
      </c>
      <c r="Q869" s="23" t="str">
        <f>VLOOKUP(H:H,'[1]雷雕處遮蔽&amp;艾仕得8844'!$A:$C,3,0)</f>
        <v>R</v>
      </c>
    </row>
    <row r="870" spans="1:17">
      <c r="A870" s="25">
        <v>46128</v>
      </c>
      <c r="B870" s="29">
        <v>0.56944444444444442</v>
      </c>
      <c r="C870" s="19">
        <v>46133</v>
      </c>
      <c r="D870" s="24" t="str">
        <f t="shared" si="126"/>
        <v>Q9B</v>
      </c>
      <c r="E870" s="13" t="str">
        <f>VLOOKUP(D:D,工作表2!A:B,2,0)</f>
        <v>邦善</v>
      </c>
      <c r="F870" s="13" t="str">
        <f>VLOOKUP(D:D,工作表2!A:C,3,0)</f>
        <v>黑</v>
      </c>
      <c r="G870" s="17">
        <v>10321037</v>
      </c>
      <c r="H870" s="17" t="s">
        <v>513</v>
      </c>
      <c r="I870" s="18" t="s">
        <v>525</v>
      </c>
      <c r="J870" s="15">
        <v>960</v>
      </c>
      <c r="K870" s="15">
        <v>127</v>
      </c>
      <c r="L870" s="20">
        <f t="shared" si="127"/>
        <v>0.13229166666666667</v>
      </c>
      <c r="M870" s="12">
        <v>102</v>
      </c>
      <c r="N870" s="12">
        <v>25</v>
      </c>
      <c r="Q870" s="23" t="str">
        <f>VLOOKUP(H:H,'[1]雷雕處遮蔽&amp;艾仕得8844'!$A:$C,3,0)</f>
        <v>L</v>
      </c>
    </row>
    <row r="871" spans="1:17">
      <c r="A871" s="25">
        <v>46132</v>
      </c>
      <c r="B871" s="29">
        <v>0.3888888888888889</v>
      </c>
      <c r="C871" s="11">
        <v>46134</v>
      </c>
      <c r="D871" s="24" t="str">
        <f t="shared" ref="D871:D895" si="128">RIGHT(I871,3)</f>
        <v>QRB</v>
      </c>
      <c r="E871" s="13" t="str">
        <f>VLOOKUP(D:D,工作表2!A:B,2,0)</f>
        <v>邦善</v>
      </c>
      <c r="F871" s="13" t="str">
        <f>VLOOKUP(D:D,工作表2!A:C,3,0)</f>
        <v>霧面黑</v>
      </c>
      <c r="G871" s="17">
        <v>10327377</v>
      </c>
      <c r="H871" s="17" t="s">
        <v>170</v>
      </c>
      <c r="I871" s="18" t="s">
        <v>171</v>
      </c>
      <c r="J871" s="15">
        <v>1596</v>
      </c>
      <c r="K871" s="15">
        <v>37</v>
      </c>
      <c r="L871" s="20">
        <f t="shared" ref="L871:L895" si="129">K871/J871</f>
        <v>2.3182957393483708E-2</v>
      </c>
      <c r="M871" s="12">
        <v>30</v>
      </c>
      <c r="N871" s="12">
        <v>7</v>
      </c>
      <c r="Q871" s="23"/>
    </row>
    <row r="872" spans="1:17">
      <c r="A872" s="25">
        <v>46133</v>
      </c>
      <c r="B872" s="29">
        <v>0.46319444444444446</v>
      </c>
      <c r="C872" s="19">
        <v>46134</v>
      </c>
      <c r="D872" s="24" t="str">
        <f t="shared" si="128"/>
        <v>QSB</v>
      </c>
      <c r="E872" s="13" t="str">
        <f>VLOOKUP(D:D,工作表2!A:B,2,0)</f>
        <v>邦善</v>
      </c>
      <c r="F872" s="13" t="str">
        <f>VLOOKUP(D:D,工作表2!A:C,3,0)</f>
        <v>黑</v>
      </c>
      <c r="G872" s="17">
        <v>10327374</v>
      </c>
      <c r="H872" s="17" t="s">
        <v>583</v>
      </c>
      <c r="I872" s="58" t="s">
        <v>587</v>
      </c>
      <c r="J872" s="58">
        <v>26600</v>
      </c>
      <c r="K872" s="58">
        <v>1219</v>
      </c>
      <c r="L872" s="20">
        <f t="shared" si="129"/>
        <v>4.5827067669172931E-2</v>
      </c>
      <c r="M872" s="12">
        <v>998</v>
      </c>
      <c r="N872" s="12">
        <v>221</v>
      </c>
      <c r="Q872" s="23"/>
    </row>
    <row r="873" spans="1:17">
      <c r="A873" s="25">
        <v>46132</v>
      </c>
      <c r="B873" s="29">
        <v>0.54375000000000007</v>
      </c>
      <c r="C873" s="19">
        <v>46134</v>
      </c>
      <c r="D873" s="24" t="str">
        <f t="shared" si="128"/>
        <v>XDL</v>
      </c>
      <c r="E873" s="13" t="str">
        <f>VLOOKUP(D:D,工作表2!A:B,2,0)</f>
        <v>敦陽</v>
      </c>
      <c r="F873" s="13" t="str">
        <f>VLOOKUP(D:D,工作表2!A:C,3,0)</f>
        <v>藍</v>
      </c>
      <c r="G873" s="17">
        <v>10326842</v>
      </c>
      <c r="H873" s="17" t="s">
        <v>1061</v>
      </c>
      <c r="I873" s="18" t="s">
        <v>1068</v>
      </c>
      <c r="J873" s="15">
        <v>140</v>
      </c>
      <c r="K873" s="15">
        <v>3</v>
      </c>
      <c r="L873" s="20">
        <f t="shared" si="129"/>
        <v>2.1428571428571429E-2</v>
      </c>
      <c r="M873" s="12">
        <v>3</v>
      </c>
      <c r="Q873" s="23"/>
    </row>
    <row r="874" spans="1:17">
      <c r="A874" s="25">
        <v>46132</v>
      </c>
      <c r="B874" s="29">
        <v>0.54166666666666663</v>
      </c>
      <c r="C874" s="19">
        <v>46134</v>
      </c>
      <c r="D874" s="24" t="str">
        <f t="shared" si="128"/>
        <v>XDL</v>
      </c>
      <c r="E874" s="13" t="str">
        <f>VLOOKUP(D:D,工作表2!A:B,2,0)</f>
        <v>敦陽</v>
      </c>
      <c r="F874" s="13" t="str">
        <f>VLOOKUP(D:D,工作表2!A:C,3,0)</f>
        <v>藍</v>
      </c>
      <c r="G874" s="17">
        <v>10301952</v>
      </c>
      <c r="H874" s="17" t="s">
        <v>1061</v>
      </c>
      <c r="I874" s="18" t="s">
        <v>1068</v>
      </c>
      <c r="J874" s="15">
        <v>60</v>
      </c>
      <c r="K874" s="15">
        <v>2</v>
      </c>
      <c r="L874" s="20">
        <f t="shared" si="129"/>
        <v>3.3333333333333333E-2</v>
      </c>
      <c r="M874" s="12">
        <v>2</v>
      </c>
      <c r="Q874" s="23"/>
    </row>
    <row r="875" spans="1:17">
      <c r="A875" s="25">
        <v>46128</v>
      </c>
      <c r="B875" s="29">
        <v>0.61944444444444446</v>
      </c>
      <c r="C875" s="19">
        <v>46134</v>
      </c>
      <c r="D875" s="24" t="str">
        <f t="shared" si="128"/>
        <v>XEB</v>
      </c>
      <c r="E875" s="13" t="str">
        <f>VLOOKUP(D:D,工作表2!A:B,2,0)</f>
        <v>敦陽</v>
      </c>
      <c r="F875" s="13" t="str">
        <f>VLOOKUP(D:D,工作表2!A:C,3,0)</f>
        <v>亮黑</v>
      </c>
      <c r="G875" s="17">
        <v>10326843</v>
      </c>
      <c r="H875" s="17" t="s">
        <v>912</v>
      </c>
      <c r="I875" s="18" t="s">
        <v>916</v>
      </c>
      <c r="J875" s="15">
        <v>140</v>
      </c>
      <c r="K875" s="15">
        <v>11</v>
      </c>
      <c r="L875" s="20">
        <f t="shared" si="129"/>
        <v>7.857142857142857E-2</v>
      </c>
      <c r="M875" s="12">
        <v>9</v>
      </c>
      <c r="N875" s="12">
        <v>2</v>
      </c>
      <c r="Q875" s="23"/>
    </row>
    <row r="876" spans="1:17">
      <c r="A876" s="25">
        <v>46128</v>
      </c>
      <c r="B876" s="29">
        <v>0.62013888888888891</v>
      </c>
      <c r="C876" s="19">
        <v>46134</v>
      </c>
      <c r="D876" s="24" t="str">
        <f t="shared" si="128"/>
        <v>XEB</v>
      </c>
      <c r="E876" s="13" t="str">
        <f>VLOOKUP(D:D,工作表2!A:B,2,0)</f>
        <v>敦陽</v>
      </c>
      <c r="F876" s="13" t="str">
        <f>VLOOKUP(D:D,工作表2!A:C,3,0)</f>
        <v>亮黑</v>
      </c>
      <c r="G876" s="17">
        <v>10326847</v>
      </c>
      <c r="H876" s="17" t="s">
        <v>912</v>
      </c>
      <c r="I876" s="18" t="s">
        <v>916</v>
      </c>
      <c r="J876" s="15">
        <v>140</v>
      </c>
      <c r="K876" s="15">
        <v>8</v>
      </c>
      <c r="L876" s="20">
        <f t="shared" si="129"/>
        <v>5.7142857142857141E-2</v>
      </c>
      <c r="M876" s="12">
        <v>6</v>
      </c>
      <c r="N876" s="12">
        <v>2</v>
      </c>
      <c r="Q876" s="23"/>
    </row>
    <row r="877" spans="1:17">
      <c r="A877" s="25">
        <v>46128</v>
      </c>
      <c r="B877" s="29">
        <v>0.62152777777777779</v>
      </c>
      <c r="C877" s="19">
        <v>46134</v>
      </c>
      <c r="D877" s="24" t="str">
        <f t="shared" si="128"/>
        <v>XFW</v>
      </c>
      <c r="E877" s="13" t="str">
        <f>VLOOKUP(D:D,工作表2!A:B,2,0)</f>
        <v>敦陽</v>
      </c>
      <c r="F877" s="13" t="str">
        <f>VLOOKUP(D:D,工作表2!A:C,3,0)</f>
        <v>白</v>
      </c>
      <c r="G877" s="17">
        <v>10326844</v>
      </c>
      <c r="H877" s="17" t="s">
        <v>790</v>
      </c>
      <c r="I877" s="18" t="s">
        <v>796</v>
      </c>
      <c r="J877" s="15">
        <v>140</v>
      </c>
      <c r="K877" s="15">
        <v>17</v>
      </c>
      <c r="L877" s="20">
        <f t="shared" si="129"/>
        <v>0.12142857142857143</v>
      </c>
      <c r="M877" s="12">
        <v>15</v>
      </c>
      <c r="N877" s="12">
        <v>2</v>
      </c>
      <c r="Q877" s="23"/>
    </row>
    <row r="878" spans="1:17">
      <c r="A878" s="25">
        <v>46128</v>
      </c>
      <c r="B878" s="29">
        <v>0.62291666666666667</v>
      </c>
      <c r="C878" s="19">
        <v>46134</v>
      </c>
      <c r="D878" s="24" t="str">
        <f t="shared" si="128"/>
        <v>XGA</v>
      </c>
      <c r="E878" s="13" t="str">
        <f>VLOOKUP(D:D,工作表2!A:B,2,0)</f>
        <v>敦陽</v>
      </c>
      <c r="F878" s="13" t="str">
        <f>VLOOKUP(D:D,工作表2!A:C,3,0)</f>
        <v>銀灰</v>
      </c>
      <c r="G878" s="17">
        <v>10326845</v>
      </c>
      <c r="H878" s="17" t="s">
        <v>910</v>
      </c>
      <c r="I878" s="18" t="s">
        <v>914</v>
      </c>
      <c r="J878" s="15">
        <v>140</v>
      </c>
      <c r="K878" s="15">
        <v>6</v>
      </c>
      <c r="L878" s="20">
        <f t="shared" si="129"/>
        <v>4.2857142857142858E-2</v>
      </c>
      <c r="M878" s="12">
        <v>5</v>
      </c>
      <c r="N878" s="12">
        <v>1</v>
      </c>
      <c r="Q878" s="23"/>
    </row>
    <row r="879" spans="1:17">
      <c r="A879" s="25">
        <v>46132</v>
      </c>
      <c r="B879" s="29">
        <v>0.54513888888888895</v>
      </c>
      <c r="C879" s="19">
        <v>46134</v>
      </c>
      <c r="D879" s="24" t="str">
        <f t="shared" si="128"/>
        <v>XPG</v>
      </c>
      <c r="E879" s="13" t="str">
        <f>VLOOKUP(D:D,工作表2!A:B,2,0)</f>
        <v>敦陽</v>
      </c>
      <c r="F879" s="13" t="str">
        <f>VLOOKUP(D:D,工作表2!A:C,3,0)</f>
        <v>綠</v>
      </c>
      <c r="G879" s="17">
        <v>10321527</v>
      </c>
      <c r="H879" s="17" t="s">
        <v>1059</v>
      </c>
      <c r="I879" s="18" t="s">
        <v>1066</v>
      </c>
      <c r="J879" s="15">
        <v>70</v>
      </c>
      <c r="K879" s="15">
        <v>5</v>
      </c>
      <c r="L879" s="20">
        <f t="shared" si="129"/>
        <v>7.1428571428571425E-2</v>
      </c>
      <c r="M879" s="12">
        <v>4</v>
      </c>
      <c r="N879" s="12">
        <v>1</v>
      </c>
      <c r="Q879" s="23"/>
    </row>
    <row r="880" spans="1:17">
      <c r="A880" s="25">
        <v>46132</v>
      </c>
      <c r="B880" s="29">
        <v>0.54166666666666663</v>
      </c>
      <c r="C880" s="19">
        <v>46134</v>
      </c>
      <c r="D880" s="24" t="str">
        <f t="shared" si="128"/>
        <v>XDL</v>
      </c>
      <c r="E880" s="13" t="str">
        <f>VLOOKUP(D:D,工作表2!A:B,2,0)</f>
        <v>敦陽</v>
      </c>
      <c r="F880" s="13" t="str">
        <f>VLOOKUP(D:D,工作表2!A:C,3,0)</f>
        <v>藍</v>
      </c>
      <c r="G880" s="17">
        <v>10301957</v>
      </c>
      <c r="H880" s="17" t="s">
        <v>1058</v>
      </c>
      <c r="I880" s="18" t="s">
        <v>1065</v>
      </c>
      <c r="J880" s="15">
        <v>60</v>
      </c>
      <c r="K880" s="15">
        <v>6</v>
      </c>
      <c r="L880" s="20">
        <f t="shared" si="129"/>
        <v>0.1</v>
      </c>
      <c r="M880" s="12">
        <v>4</v>
      </c>
      <c r="N880" s="12">
        <v>2</v>
      </c>
      <c r="Q880" s="23"/>
    </row>
    <row r="881" spans="1:17">
      <c r="A881" s="25">
        <v>46132</v>
      </c>
      <c r="B881" s="29">
        <v>0.54305555555555551</v>
      </c>
      <c r="C881" s="19">
        <v>46134</v>
      </c>
      <c r="D881" s="24" t="str">
        <f t="shared" si="128"/>
        <v>XDL</v>
      </c>
      <c r="E881" s="13" t="str">
        <f>VLOOKUP(D:D,工作表2!A:B,2,0)</f>
        <v>敦陽</v>
      </c>
      <c r="F881" s="13" t="str">
        <f>VLOOKUP(D:D,工作表2!A:C,3,0)</f>
        <v>藍</v>
      </c>
      <c r="G881" s="17">
        <v>10326846</v>
      </c>
      <c r="H881" s="17" t="s">
        <v>1058</v>
      </c>
      <c r="I881" s="18" t="s">
        <v>1065</v>
      </c>
      <c r="J881" s="15">
        <v>140</v>
      </c>
      <c r="K881" s="15">
        <v>7</v>
      </c>
      <c r="L881" s="20">
        <f t="shared" si="129"/>
        <v>0.05</v>
      </c>
      <c r="M881" s="12">
        <v>4</v>
      </c>
      <c r="N881" s="12">
        <v>3</v>
      </c>
      <c r="Q881" s="23"/>
    </row>
    <row r="882" spans="1:17">
      <c r="A882" s="25">
        <v>46128</v>
      </c>
      <c r="B882" s="29">
        <v>0.62222222222222223</v>
      </c>
      <c r="C882" s="19">
        <v>46134</v>
      </c>
      <c r="D882" s="24" t="str">
        <f t="shared" si="128"/>
        <v>XFW</v>
      </c>
      <c r="E882" s="13" t="str">
        <f>VLOOKUP(D:D,工作表2!A:B,2,0)</f>
        <v>敦陽</v>
      </c>
      <c r="F882" s="13" t="str">
        <f>VLOOKUP(D:D,工作表2!A:C,3,0)</f>
        <v>白</v>
      </c>
      <c r="G882" s="17">
        <v>10326848</v>
      </c>
      <c r="H882" s="17" t="s">
        <v>791</v>
      </c>
      <c r="I882" s="18" t="s">
        <v>797</v>
      </c>
      <c r="J882" s="15">
        <v>140</v>
      </c>
      <c r="K882" s="15">
        <v>18</v>
      </c>
      <c r="L882" s="20">
        <f t="shared" si="129"/>
        <v>0.12857142857142856</v>
      </c>
      <c r="M882" s="12">
        <v>15</v>
      </c>
      <c r="N882" s="12">
        <v>3</v>
      </c>
      <c r="Q882" s="23"/>
    </row>
    <row r="883" spans="1:17">
      <c r="A883" s="25">
        <v>46128</v>
      </c>
      <c r="B883" s="29">
        <v>0.62361111111111112</v>
      </c>
      <c r="C883" s="19">
        <v>46134</v>
      </c>
      <c r="D883" s="24" t="str">
        <f t="shared" si="128"/>
        <v>XGA</v>
      </c>
      <c r="E883" s="13" t="str">
        <f>VLOOKUP(D:D,工作表2!A:B,2,0)</f>
        <v>敦陽</v>
      </c>
      <c r="F883" s="13" t="str">
        <f>VLOOKUP(D:D,工作表2!A:C,3,0)</f>
        <v>銀灰</v>
      </c>
      <c r="G883" s="17">
        <v>10326849</v>
      </c>
      <c r="H883" s="17" t="s">
        <v>911</v>
      </c>
      <c r="I883" s="18" t="s">
        <v>915</v>
      </c>
      <c r="J883" s="15">
        <v>140</v>
      </c>
      <c r="K883" s="15">
        <v>3</v>
      </c>
      <c r="L883" s="20">
        <f t="shared" si="129"/>
        <v>2.1428571428571429E-2</v>
      </c>
      <c r="M883" s="12">
        <v>2</v>
      </c>
      <c r="N883" s="12">
        <v>1</v>
      </c>
      <c r="Q883" s="23"/>
    </row>
    <row r="884" spans="1:17">
      <c r="A884" s="25">
        <v>46132</v>
      </c>
      <c r="B884" s="29">
        <v>0.54583333333333328</v>
      </c>
      <c r="C884" s="19">
        <v>46134</v>
      </c>
      <c r="D884" s="24" t="str">
        <f t="shared" si="128"/>
        <v>XPG</v>
      </c>
      <c r="E884" s="13" t="str">
        <f>VLOOKUP(D:D,工作表2!A:B,2,0)</f>
        <v>敦陽</v>
      </c>
      <c r="F884" s="13" t="str">
        <f>VLOOKUP(D:D,工作表2!A:C,3,0)</f>
        <v>綠</v>
      </c>
      <c r="G884" s="17">
        <v>10321610</v>
      </c>
      <c r="H884" s="17" t="s">
        <v>1060</v>
      </c>
      <c r="I884" s="18" t="s">
        <v>1067</v>
      </c>
      <c r="J884" s="15">
        <v>70</v>
      </c>
      <c r="K884" s="15">
        <v>3</v>
      </c>
      <c r="L884" s="20">
        <f t="shared" si="129"/>
        <v>4.2857142857142858E-2</v>
      </c>
      <c r="M884" s="12">
        <v>3</v>
      </c>
      <c r="Q884" s="23"/>
    </row>
    <row r="885" spans="1:17">
      <c r="A885" s="25">
        <v>46128</v>
      </c>
      <c r="B885" s="29">
        <v>0.61944444444444446</v>
      </c>
      <c r="C885" s="19">
        <v>46134</v>
      </c>
      <c r="D885" s="24" t="str">
        <f t="shared" si="128"/>
        <v>WMS</v>
      </c>
      <c r="E885" s="13" t="str">
        <f>VLOOKUP(D:D,工作表2!A:B,2,0)</f>
        <v>邦善</v>
      </c>
      <c r="F885" s="13" t="str">
        <f>VLOOKUP(D:D,工作表2!A:C,3,0)</f>
        <v>銀</v>
      </c>
      <c r="G885" s="17">
        <v>10325856</v>
      </c>
      <c r="H885" s="17" t="s">
        <v>1056</v>
      </c>
      <c r="I885" s="18" t="s">
        <v>1063</v>
      </c>
      <c r="J885" s="15">
        <v>50</v>
      </c>
      <c r="L885" s="20">
        <f t="shared" si="129"/>
        <v>0</v>
      </c>
      <c r="Q885" s="23" t="str">
        <f>VLOOKUP(H:H,'[1]雷雕處遮蔽&amp;艾仕得8844'!$A:$C,3,0)</f>
        <v>0度頭蓋</v>
      </c>
    </row>
    <row r="886" spans="1:17">
      <c r="A886" s="25">
        <v>46128</v>
      </c>
      <c r="B886" s="29">
        <v>0.62430555555555556</v>
      </c>
      <c r="C886" s="19">
        <v>46134</v>
      </c>
      <c r="D886" s="24" t="str">
        <f t="shared" si="128"/>
        <v>6HA</v>
      </c>
      <c r="E886" s="13" t="str">
        <f>VLOOKUP(D:D,工作表2!A:B,2,0)</f>
        <v>敦陽</v>
      </c>
      <c r="F886" s="13" t="str">
        <f>VLOOKUP(D:D,工作表2!A:C,3,0)</f>
        <v>灰</v>
      </c>
      <c r="G886" s="17">
        <v>10325853</v>
      </c>
      <c r="H886" s="17" t="s">
        <v>740</v>
      </c>
      <c r="I886" s="18" t="s">
        <v>742</v>
      </c>
      <c r="J886" s="15">
        <v>70</v>
      </c>
      <c r="K886" s="15">
        <v>4</v>
      </c>
      <c r="L886" s="20">
        <f t="shared" si="129"/>
        <v>5.7142857142857141E-2</v>
      </c>
      <c r="M886" s="12">
        <v>4</v>
      </c>
      <c r="Q886" s="23"/>
    </row>
    <row r="887" spans="1:17">
      <c r="A887" s="25">
        <v>46132</v>
      </c>
      <c r="B887" s="29">
        <v>0.65277777777777779</v>
      </c>
      <c r="C887" s="19">
        <v>46134</v>
      </c>
      <c r="D887" s="24" t="str">
        <f t="shared" si="128"/>
        <v>75W</v>
      </c>
      <c r="E887" s="13" t="str">
        <f>VLOOKUP(D:D,工作表2!A:B,2,0)</f>
        <v>敦陽</v>
      </c>
      <c r="F887" s="13" t="str">
        <f>VLOOKUP(D:D,工作表2!A:C,3,0)</f>
        <v>白</v>
      </c>
      <c r="G887" s="17">
        <v>10325854</v>
      </c>
      <c r="H887" s="17" t="s">
        <v>524</v>
      </c>
      <c r="I887" s="18" t="s">
        <v>536</v>
      </c>
      <c r="J887" s="15">
        <v>160</v>
      </c>
      <c r="K887" s="15">
        <v>25</v>
      </c>
      <c r="L887" s="20">
        <f t="shared" si="129"/>
        <v>0.15625</v>
      </c>
      <c r="M887" s="12">
        <v>20</v>
      </c>
      <c r="N887" s="12">
        <v>5</v>
      </c>
      <c r="Q887" s="23" t="str">
        <f>VLOOKUP(H:H,'[1]雷雕處遮蔽&amp;艾仕得8844'!$A:$C,3,0)</f>
        <v>23度頭蓋</v>
      </c>
    </row>
    <row r="888" spans="1:17">
      <c r="A888" s="25">
        <v>46132</v>
      </c>
      <c r="B888" s="29">
        <v>0.65347222222222223</v>
      </c>
      <c r="C888" s="19">
        <v>46134</v>
      </c>
      <c r="D888" s="24" t="str">
        <f t="shared" si="128"/>
        <v>76S</v>
      </c>
      <c r="E888" s="13" t="str">
        <f>VLOOKUP(D:D,工作表2!A:B,2,0)</f>
        <v>敦陽</v>
      </c>
      <c r="F888" s="13" t="str">
        <f>VLOOKUP(D:D,工作表2!A:C,3,0)</f>
        <v>銀</v>
      </c>
      <c r="G888" s="17">
        <v>10325855</v>
      </c>
      <c r="H888" s="17" t="s">
        <v>1057</v>
      </c>
      <c r="I888" s="18" t="s">
        <v>1064</v>
      </c>
      <c r="J888" s="15">
        <v>80</v>
      </c>
      <c r="K888" s="15">
        <v>16</v>
      </c>
      <c r="L888" s="20">
        <f t="shared" si="129"/>
        <v>0.2</v>
      </c>
      <c r="M888" s="12">
        <v>12</v>
      </c>
      <c r="N888" s="12">
        <v>4</v>
      </c>
      <c r="Q888" s="23" t="str">
        <f>VLOOKUP(H:H,'[1]雷雕處遮蔽&amp;艾仕得8844'!$A:$C,3,0)</f>
        <v>23度頭蓋</v>
      </c>
    </row>
    <row r="889" spans="1:17">
      <c r="A889" s="25">
        <v>46132</v>
      </c>
      <c r="B889" s="29">
        <v>0.62569444444444444</v>
      </c>
      <c r="C889" s="19">
        <v>46134</v>
      </c>
      <c r="D889" s="24" t="str">
        <f t="shared" si="128"/>
        <v>NGW</v>
      </c>
      <c r="E889" s="13" t="str">
        <f>VLOOKUP(D:D,工作表2!A:B,2,0)</f>
        <v>邦善</v>
      </c>
      <c r="F889" s="13" t="str">
        <f>VLOOKUP(D:D,工作表2!A:C,3,0)</f>
        <v>白</v>
      </c>
      <c r="G889" s="17">
        <v>10321915</v>
      </c>
      <c r="H889" s="17" t="s">
        <v>327</v>
      </c>
      <c r="I889" s="18" t="s">
        <v>328</v>
      </c>
      <c r="J889" s="15">
        <v>320</v>
      </c>
      <c r="K889" s="15">
        <v>17</v>
      </c>
      <c r="L889" s="20">
        <f t="shared" si="129"/>
        <v>5.3124999999999999E-2</v>
      </c>
      <c r="M889" s="12">
        <v>15</v>
      </c>
      <c r="N889" s="12">
        <v>2</v>
      </c>
      <c r="Q889" s="23" t="str">
        <f>VLOOKUP(H:H,'[1]雷雕處遮蔽&amp;艾仕得8844'!$A:$C,3,0)</f>
        <v>R</v>
      </c>
    </row>
    <row r="890" spans="1:17">
      <c r="A890" s="25">
        <v>46128</v>
      </c>
      <c r="B890" s="29">
        <v>0.64513888888888882</v>
      </c>
      <c r="C890" s="19">
        <v>46134</v>
      </c>
      <c r="D890" s="24" t="str">
        <f t="shared" si="128"/>
        <v>NGW</v>
      </c>
      <c r="E890" s="13" t="str">
        <f>VLOOKUP(D:D,工作表2!A:B,2,0)</f>
        <v>邦善</v>
      </c>
      <c r="F890" s="13" t="str">
        <f>VLOOKUP(D:D,工作表2!A:C,3,0)</f>
        <v>白</v>
      </c>
      <c r="G890" s="17">
        <v>10321899</v>
      </c>
      <c r="H890" s="17" t="s">
        <v>372</v>
      </c>
      <c r="I890" s="18" t="s">
        <v>373</v>
      </c>
      <c r="J890" s="15">
        <v>680</v>
      </c>
      <c r="K890" s="15">
        <v>29</v>
      </c>
      <c r="L890" s="20">
        <f t="shared" si="129"/>
        <v>4.2647058823529413E-2</v>
      </c>
      <c r="M890" s="12">
        <v>26</v>
      </c>
      <c r="N890" s="12">
        <v>3</v>
      </c>
      <c r="Q890" s="23"/>
    </row>
    <row r="891" spans="1:17">
      <c r="A891" s="25">
        <v>46132</v>
      </c>
      <c r="B891" s="29">
        <v>0.59097222222222223</v>
      </c>
      <c r="C891" s="19">
        <v>46134</v>
      </c>
      <c r="D891" s="24" t="str">
        <f t="shared" si="128"/>
        <v>NGW</v>
      </c>
      <c r="E891" s="13" t="str">
        <f>VLOOKUP(D:D,工作表2!A:B,2,0)</f>
        <v>邦善</v>
      </c>
      <c r="F891" s="13" t="str">
        <f>VLOOKUP(D:D,工作表2!A:C,3,0)</f>
        <v>白</v>
      </c>
      <c r="G891" s="17">
        <v>10321897</v>
      </c>
      <c r="H891" s="17" t="s">
        <v>435</v>
      </c>
      <c r="I891" s="18" t="s">
        <v>437</v>
      </c>
      <c r="J891" s="15">
        <v>560</v>
      </c>
      <c r="K891" s="15">
        <v>13</v>
      </c>
      <c r="L891" s="20">
        <f t="shared" si="129"/>
        <v>2.3214285714285715E-2</v>
      </c>
      <c r="M891" s="12">
        <v>9</v>
      </c>
      <c r="N891" s="12">
        <v>4</v>
      </c>
      <c r="Q891" s="23" t="str">
        <f>VLOOKUP(H:H,'[1]雷雕處遮蔽&amp;艾仕得8844'!$A:$C,3,0)</f>
        <v>L</v>
      </c>
    </row>
    <row r="892" spans="1:17">
      <c r="A892" s="25">
        <v>46132</v>
      </c>
      <c r="B892" s="29">
        <v>0.58333333333333337</v>
      </c>
      <c r="C892" s="19">
        <v>46134</v>
      </c>
      <c r="D892" s="24" t="str">
        <f t="shared" si="128"/>
        <v>NGW</v>
      </c>
      <c r="E892" s="13" t="str">
        <f>VLOOKUP(D:D,工作表2!A:B,2,0)</f>
        <v>邦善</v>
      </c>
      <c r="F892" s="13" t="str">
        <f>VLOOKUP(D:D,工作表2!A:C,3,0)</f>
        <v>白</v>
      </c>
      <c r="G892" s="17">
        <v>10321917</v>
      </c>
      <c r="H892" s="17" t="s">
        <v>386</v>
      </c>
      <c r="I892" s="18" t="s">
        <v>391</v>
      </c>
      <c r="J892" s="15">
        <v>280</v>
      </c>
      <c r="K892" s="15">
        <v>8</v>
      </c>
      <c r="L892" s="20">
        <f t="shared" si="129"/>
        <v>2.8571428571428571E-2</v>
      </c>
      <c r="M892" s="12">
        <v>6</v>
      </c>
      <c r="N892" s="12">
        <v>2</v>
      </c>
      <c r="Q892" s="23"/>
    </row>
    <row r="893" spans="1:17">
      <c r="A893" s="25">
        <v>46132</v>
      </c>
      <c r="B893" s="29">
        <v>0.63472222222222219</v>
      </c>
      <c r="C893" s="19">
        <v>46134</v>
      </c>
      <c r="D893" s="24" t="str">
        <f t="shared" si="128"/>
        <v>NGW</v>
      </c>
      <c r="E893" s="13" t="str">
        <f>VLOOKUP(D:D,工作表2!A:B,2,0)</f>
        <v>邦善</v>
      </c>
      <c r="F893" s="13" t="str">
        <f>VLOOKUP(D:D,工作表2!A:C,3,0)</f>
        <v>白</v>
      </c>
      <c r="G893" s="17">
        <v>10321906</v>
      </c>
      <c r="H893" s="17" t="s">
        <v>1062</v>
      </c>
      <c r="I893" s="18" t="s">
        <v>1069</v>
      </c>
      <c r="J893" s="15">
        <v>520</v>
      </c>
      <c r="K893" s="15">
        <v>25</v>
      </c>
      <c r="L893" s="20">
        <f t="shared" si="129"/>
        <v>4.807692307692308E-2</v>
      </c>
      <c r="M893" s="12">
        <v>20</v>
      </c>
      <c r="N893" s="12">
        <v>5</v>
      </c>
      <c r="Q893" s="23" t="str">
        <f>VLOOKUP(H:H,'[1]雷雕處遮蔽&amp;艾仕得8844'!$A:$C,3,0)</f>
        <v>R</v>
      </c>
    </row>
    <row r="894" spans="1:17">
      <c r="A894" s="25">
        <v>46129</v>
      </c>
      <c r="B894" s="29">
        <v>0.4513888888888889</v>
      </c>
      <c r="C894" s="19">
        <v>46134</v>
      </c>
      <c r="D894" s="24" t="str">
        <f t="shared" si="128"/>
        <v>Q9B</v>
      </c>
      <c r="E894" s="13" t="str">
        <f>VLOOKUP(D:D,工作表2!A:B,2,0)</f>
        <v>邦善</v>
      </c>
      <c r="F894" s="13" t="str">
        <f>VLOOKUP(D:D,工作表2!A:C,3,0)</f>
        <v>黑</v>
      </c>
      <c r="G894" s="17">
        <v>10321907</v>
      </c>
      <c r="H894" s="17" t="s">
        <v>631</v>
      </c>
      <c r="I894" s="18" t="s">
        <v>637</v>
      </c>
      <c r="J894" s="15">
        <v>360</v>
      </c>
      <c r="K894" s="15">
        <v>21</v>
      </c>
      <c r="L894" s="20">
        <f t="shared" si="129"/>
        <v>5.8333333333333334E-2</v>
      </c>
      <c r="M894" s="12">
        <v>13</v>
      </c>
      <c r="N894" s="12">
        <v>8</v>
      </c>
      <c r="Q894" s="23" t="str">
        <f>VLOOKUP(H:H,'[1]雷雕處遮蔽&amp;艾仕得8844'!$A:$C,3,0)</f>
        <v>L</v>
      </c>
    </row>
    <row r="895" spans="1:17">
      <c r="A895" s="25">
        <v>46129</v>
      </c>
      <c r="B895" s="29">
        <v>0.4381944444444445</v>
      </c>
      <c r="C895" s="19">
        <v>46134</v>
      </c>
      <c r="D895" s="24" t="str">
        <f t="shared" si="128"/>
        <v>Q9B</v>
      </c>
      <c r="E895" s="13" t="str">
        <f>VLOOKUP(D:D,工作表2!A:B,2,0)</f>
        <v>邦善</v>
      </c>
      <c r="F895" s="13" t="str">
        <f>VLOOKUP(D:D,工作表2!A:C,3,0)</f>
        <v>黑</v>
      </c>
      <c r="G895" s="17">
        <v>10321909</v>
      </c>
      <c r="H895" s="17" t="s">
        <v>783</v>
      </c>
      <c r="I895" s="18" t="s">
        <v>785</v>
      </c>
      <c r="J895" s="15">
        <v>560</v>
      </c>
      <c r="K895" s="15">
        <v>36</v>
      </c>
      <c r="L895" s="20">
        <f t="shared" si="129"/>
        <v>6.4285714285714279E-2</v>
      </c>
      <c r="M895" s="12">
        <v>29</v>
      </c>
      <c r="N895" s="12">
        <v>7</v>
      </c>
      <c r="Q895" s="23" t="str">
        <f>VLOOKUP(H:H,'[1]雷雕處遮蔽&amp;艾仕得8844'!$A:$C,3,0)</f>
        <v>R</v>
      </c>
    </row>
    <row r="896" spans="1:17">
      <c r="A896" s="25">
        <v>46134</v>
      </c>
      <c r="B896" s="29">
        <v>0.37847222222222227</v>
      </c>
      <c r="C896" s="11">
        <v>46135</v>
      </c>
      <c r="D896" s="24" t="str">
        <f t="shared" ref="D896:D904" si="130">RIGHT(I896,3)</f>
        <v>QRB</v>
      </c>
      <c r="E896" s="13" t="str">
        <f>VLOOKUP(D:D,工作表2!A:B,2,0)</f>
        <v>邦善</v>
      </c>
      <c r="F896" s="13" t="str">
        <f>VLOOKUP(D:D,工作表2!A:C,3,0)</f>
        <v>霧面黑</v>
      </c>
      <c r="G896" s="17">
        <v>10327378</v>
      </c>
      <c r="H896" s="17" t="s">
        <v>170</v>
      </c>
      <c r="I896" s="18" t="s">
        <v>171</v>
      </c>
      <c r="J896" s="15">
        <v>26600</v>
      </c>
      <c r="K896" s="15">
        <v>382</v>
      </c>
      <c r="L896" s="20">
        <f t="shared" ref="L896:L904" si="131">K896/J896</f>
        <v>1.4360902255639098E-2</v>
      </c>
      <c r="M896" s="12">
        <v>308</v>
      </c>
      <c r="N896" s="12">
        <v>70</v>
      </c>
      <c r="O896" s="15">
        <v>4</v>
      </c>
      <c r="Q896" s="23"/>
    </row>
    <row r="897" spans="1:17">
      <c r="A897" s="25">
        <v>46133</v>
      </c>
      <c r="B897" s="29">
        <v>0.62708333333333333</v>
      </c>
      <c r="C897" s="11">
        <v>46135</v>
      </c>
      <c r="D897" s="24" t="str">
        <f t="shared" si="130"/>
        <v>N8B</v>
      </c>
      <c r="E897" s="13" t="str">
        <f>VLOOKUP(D:D,工作表2!A:B,2,0)</f>
        <v>邦善</v>
      </c>
      <c r="F897" s="13" t="str">
        <f>VLOOKUP(D:D,工作表2!A:C,3,0)</f>
        <v>霧面黑</v>
      </c>
      <c r="G897" s="17">
        <v>10321916</v>
      </c>
      <c r="H897" s="17" t="s">
        <v>5</v>
      </c>
      <c r="I897" s="18" t="s">
        <v>6</v>
      </c>
      <c r="J897" s="15">
        <v>7182</v>
      </c>
      <c r="K897" s="15">
        <v>94</v>
      </c>
      <c r="L897" s="20">
        <f t="shared" si="131"/>
        <v>1.3088276246170982E-2</v>
      </c>
      <c r="M897" s="12">
        <v>90</v>
      </c>
      <c r="N897" s="12">
        <v>4</v>
      </c>
      <c r="Q897" s="23"/>
    </row>
    <row r="898" spans="1:17">
      <c r="A898" s="25">
        <v>46133</v>
      </c>
      <c r="B898" s="29">
        <v>0.4597222222222222</v>
      </c>
      <c r="C898" s="19">
        <v>46135</v>
      </c>
      <c r="D898" s="24" t="str">
        <f t="shared" si="130"/>
        <v>NEA</v>
      </c>
      <c r="E898" s="13" t="str">
        <f>VLOOKUP(D:D,工作表2!A:B,2,0)</f>
        <v>邦善</v>
      </c>
      <c r="F898" s="13" t="str">
        <f>VLOOKUP(D:D,工作表2!A:C,3,0)</f>
        <v>灰</v>
      </c>
      <c r="G898" s="17">
        <v>10321933</v>
      </c>
      <c r="H898" s="17" t="s">
        <v>396</v>
      </c>
      <c r="I898" s="18" t="s">
        <v>398</v>
      </c>
      <c r="J898" s="15">
        <v>266</v>
      </c>
      <c r="K898" s="15">
        <v>19</v>
      </c>
      <c r="L898" s="20">
        <f t="shared" si="131"/>
        <v>7.1428571428571425E-2</v>
      </c>
      <c r="M898" s="12">
        <v>12</v>
      </c>
      <c r="N898" s="12">
        <v>7</v>
      </c>
      <c r="Q898" s="23"/>
    </row>
    <row r="899" spans="1:17">
      <c r="A899" s="25">
        <v>46132</v>
      </c>
      <c r="B899" s="29">
        <v>0.64930555555555558</v>
      </c>
      <c r="C899" s="19">
        <v>46135</v>
      </c>
      <c r="D899" s="24" t="str">
        <f t="shared" si="130"/>
        <v>NGW</v>
      </c>
      <c r="E899" s="13" t="str">
        <f>VLOOKUP(D:D,工作表2!A:B,2,0)</f>
        <v>邦善</v>
      </c>
      <c r="F899" s="13" t="str">
        <f>VLOOKUP(D:D,工作表2!A:C,3,0)</f>
        <v>白</v>
      </c>
      <c r="G899" s="17">
        <v>10321925</v>
      </c>
      <c r="H899" s="17" t="s">
        <v>543</v>
      </c>
      <c r="I899" s="18" t="s">
        <v>554</v>
      </c>
      <c r="J899" s="15">
        <v>798</v>
      </c>
      <c r="K899" s="15">
        <v>38</v>
      </c>
      <c r="L899" s="20">
        <f t="shared" si="131"/>
        <v>4.7619047619047616E-2</v>
      </c>
      <c r="M899" s="12">
        <v>32</v>
      </c>
      <c r="N899" s="12">
        <v>6</v>
      </c>
      <c r="Q899" s="23"/>
    </row>
    <row r="900" spans="1:17">
      <c r="A900" s="25">
        <v>46132</v>
      </c>
      <c r="B900" s="29">
        <v>0.6118055555555556</v>
      </c>
      <c r="C900" s="19">
        <v>46135</v>
      </c>
      <c r="D900" s="24" t="str">
        <f t="shared" si="130"/>
        <v>NGW</v>
      </c>
      <c r="E900" s="13" t="str">
        <f>VLOOKUP(D:D,工作表2!A:B,2,0)</f>
        <v>邦善</v>
      </c>
      <c r="F900" s="13" t="str">
        <f>VLOOKUP(D:D,工作表2!A:C,3,0)</f>
        <v>白</v>
      </c>
      <c r="G900" s="17">
        <v>10321896</v>
      </c>
      <c r="H900" s="17" t="s">
        <v>714</v>
      </c>
      <c r="I900" s="18" t="s">
        <v>717</v>
      </c>
      <c r="J900" s="15">
        <v>520</v>
      </c>
      <c r="K900" s="15">
        <v>32</v>
      </c>
      <c r="L900" s="20">
        <f t="shared" si="131"/>
        <v>6.1538461538461542E-2</v>
      </c>
      <c r="M900" s="12">
        <v>19</v>
      </c>
      <c r="N900" s="12">
        <v>13</v>
      </c>
      <c r="Q900" s="23" t="str">
        <f>VLOOKUP(H:H,'[1]雷雕處遮蔽&amp;艾仕得8844'!$A:$C,3,0)</f>
        <v>R</v>
      </c>
    </row>
    <row r="901" spans="1:17">
      <c r="A901" s="25">
        <v>46132</v>
      </c>
      <c r="B901" s="29">
        <v>0.55277777777777781</v>
      </c>
      <c r="C901" s="19">
        <v>46135</v>
      </c>
      <c r="D901" s="24" t="str">
        <f t="shared" si="130"/>
        <v>Q9B</v>
      </c>
      <c r="E901" s="13" t="str">
        <f>VLOOKUP(D:D,工作表2!A:B,2,0)</f>
        <v>邦善</v>
      </c>
      <c r="F901" s="13" t="str">
        <f>VLOOKUP(D:D,工作表2!A:C,3,0)</f>
        <v>黑</v>
      </c>
      <c r="G901" s="17">
        <v>10324468</v>
      </c>
      <c r="H901" s="17" t="s">
        <v>939</v>
      </c>
      <c r="I901" s="18" t="s">
        <v>945</v>
      </c>
      <c r="J901" s="15">
        <v>1000</v>
      </c>
      <c r="K901" s="15">
        <v>177</v>
      </c>
      <c r="L901" s="20">
        <f t="shared" si="131"/>
        <v>0.17699999999999999</v>
      </c>
      <c r="M901" s="12">
        <v>100</v>
      </c>
      <c r="N901" s="12">
        <v>77</v>
      </c>
      <c r="P901" s="32" t="s">
        <v>1078</v>
      </c>
      <c r="Q901" s="23" t="str">
        <f>VLOOKUP(H:H,'[1]雷雕處遮蔽&amp;艾仕得8844'!$A:$C,3,0)</f>
        <v>L</v>
      </c>
    </row>
    <row r="902" spans="1:17">
      <c r="A902" s="25">
        <v>46132</v>
      </c>
      <c r="B902" s="29">
        <v>0.57152777777777775</v>
      </c>
      <c r="C902" s="19">
        <v>46135</v>
      </c>
      <c r="D902" s="24" t="str">
        <f t="shared" si="130"/>
        <v>Q9B</v>
      </c>
      <c r="E902" s="13" t="str">
        <f>VLOOKUP(D:D,工作表2!A:B,2,0)</f>
        <v>邦善</v>
      </c>
      <c r="F902" s="13" t="str">
        <f>VLOOKUP(D:D,工作表2!A:C,3,0)</f>
        <v>黑</v>
      </c>
      <c r="G902" s="17">
        <v>10321908</v>
      </c>
      <c r="H902" s="17" t="s">
        <v>730</v>
      </c>
      <c r="I902" s="18" t="s">
        <v>737</v>
      </c>
      <c r="J902" s="15">
        <v>360</v>
      </c>
      <c r="K902" s="15">
        <v>12</v>
      </c>
      <c r="L902" s="20">
        <f t="shared" si="131"/>
        <v>3.3333333333333333E-2</v>
      </c>
      <c r="M902" s="12">
        <v>8</v>
      </c>
      <c r="N902" s="12">
        <v>4</v>
      </c>
      <c r="Q902" s="23" t="str">
        <f>VLOOKUP(H:H,'[1]雷雕處遮蔽&amp;艾仕得8844'!$A:$C,3,0)</f>
        <v>R</v>
      </c>
    </row>
    <row r="903" spans="1:17">
      <c r="A903" s="25">
        <v>46134</v>
      </c>
      <c r="B903" s="29">
        <v>0.54097222222222219</v>
      </c>
      <c r="C903" s="19">
        <v>46135</v>
      </c>
      <c r="D903" s="24" t="str">
        <f t="shared" si="130"/>
        <v>Q9B</v>
      </c>
      <c r="E903" s="13" t="str">
        <f>VLOOKUP(D:D,工作表2!A:B,2,0)</f>
        <v>邦善</v>
      </c>
      <c r="F903" s="13" t="str">
        <f>VLOOKUP(D:D,工作表2!A:C,3,0)</f>
        <v>黑</v>
      </c>
      <c r="G903" s="17">
        <v>10328971</v>
      </c>
      <c r="H903" s="17" t="s">
        <v>816</v>
      </c>
      <c r="I903" s="18" t="s">
        <v>825</v>
      </c>
      <c r="J903" s="15">
        <v>160</v>
      </c>
      <c r="K903" s="15">
        <v>7</v>
      </c>
      <c r="L903" s="20">
        <f t="shared" si="131"/>
        <v>4.3749999999999997E-2</v>
      </c>
      <c r="M903" s="12">
        <v>4</v>
      </c>
      <c r="N903" s="12">
        <v>3</v>
      </c>
      <c r="Q903" s="23" t="str">
        <f>VLOOKUP(H:H,'[1]雷雕處遮蔽&amp;艾仕得8844'!$A:$C,3,0)</f>
        <v>R</v>
      </c>
    </row>
    <row r="904" spans="1:17">
      <c r="A904" s="25">
        <v>46134</v>
      </c>
      <c r="B904" s="29">
        <v>0.57916666666666672</v>
      </c>
      <c r="C904" s="19">
        <v>46135</v>
      </c>
      <c r="D904" s="24" t="str">
        <f t="shared" si="130"/>
        <v>BBB</v>
      </c>
      <c r="E904" s="13" t="str">
        <f>VLOOKUP(D:D,工作表2!A:B,2,0)</f>
        <v>邦善</v>
      </c>
      <c r="F904" s="13" t="str">
        <f>VLOOKUP(D:D,工作表2!A:C,3,0)</f>
        <v>霧面黑</v>
      </c>
      <c r="G904" s="17">
        <v>10327530</v>
      </c>
      <c r="H904" s="17" t="s">
        <v>578</v>
      </c>
      <c r="I904" s="18" t="s">
        <v>580</v>
      </c>
      <c r="J904" s="15">
        <v>160</v>
      </c>
      <c r="K904" s="15">
        <v>11</v>
      </c>
      <c r="L904" s="20">
        <f t="shared" si="131"/>
        <v>6.8750000000000006E-2</v>
      </c>
      <c r="M904" s="12">
        <v>7</v>
      </c>
      <c r="N904" s="12">
        <v>4</v>
      </c>
      <c r="Q904" s="23"/>
    </row>
    <row r="905" spans="1:17">
      <c r="A905" s="25">
        <v>46134</v>
      </c>
      <c r="B905" s="29">
        <v>0.65833333333333333</v>
      </c>
      <c r="C905" s="11">
        <v>46136</v>
      </c>
      <c r="D905" s="24" t="str">
        <f t="shared" ref="D905:D915" si="132">RIGHT(I905,3)</f>
        <v>RLR</v>
      </c>
      <c r="E905" s="13" t="str">
        <f>VLOOKUP(D:D,工作表2!A:B,2,0)</f>
        <v>邦善</v>
      </c>
      <c r="F905" s="13" t="str">
        <f>VLOOKUP(D:D,工作表2!A:C,3,0)</f>
        <v>紅</v>
      </c>
      <c r="G905" s="17">
        <v>10328141</v>
      </c>
      <c r="H905" s="17" t="s">
        <v>1031</v>
      </c>
      <c r="I905" s="18" t="s">
        <v>1035</v>
      </c>
      <c r="J905" s="15">
        <v>400</v>
      </c>
      <c r="K905" s="15">
        <v>0</v>
      </c>
      <c r="L905" s="20">
        <f t="shared" ref="L905:L915" si="133">K905/J905</f>
        <v>0</v>
      </c>
      <c r="Q905" s="23"/>
    </row>
    <row r="906" spans="1:17">
      <c r="A906" s="25">
        <v>46136</v>
      </c>
      <c r="B906" s="29">
        <v>0.42430555555555555</v>
      </c>
      <c r="C906" s="11">
        <v>46136</v>
      </c>
      <c r="D906" s="24" t="str">
        <f t="shared" si="132"/>
        <v>QUW</v>
      </c>
      <c r="E906" s="13" t="str">
        <f>VLOOKUP(D:D,工作表2!A:B,2,0)</f>
        <v>邦善</v>
      </c>
      <c r="F906" s="13" t="str">
        <f>VLOOKUP(D:D,工作表2!A:C,3,0)</f>
        <v>白</v>
      </c>
      <c r="G906" s="17">
        <v>10327397</v>
      </c>
      <c r="H906" s="17" t="s">
        <v>634</v>
      </c>
      <c r="I906" s="18" t="s">
        <v>640</v>
      </c>
      <c r="J906" s="15">
        <v>3724</v>
      </c>
      <c r="K906" s="15">
        <v>178</v>
      </c>
      <c r="L906" s="20">
        <f t="shared" si="133"/>
        <v>4.7798066595059079E-2</v>
      </c>
      <c r="M906" s="12">
        <v>166</v>
      </c>
      <c r="N906" s="12">
        <v>12</v>
      </c>
      <c r="Q906" s="23"/>
    </row>
    <row r="907" spans="1:17">
      <c r="A907" s="25">
        <v>46135</v>
      </c>
      <c r="C907" s="19">
        <v>46136</v>
      </c>
      <c r="D907" s="24" t="str">
        <f t="shared" si="132"/>
        <v>QUW</v>
      </c>
      <c r="E907" s="13" t="str">
        <f>VLOOKUP(D:D,工作表2!A:B,2,0)</f>
        <v>邦善</v>
      </c>
      <c r="F907" s="13" t="str">
        <f>VLOOKUP(D:D,工作表2!A:C,3,0)</f>
        <v>白</v>
      </c>
      <c r="G907" s="17">
        <v>10327396</v>
      </c>
      <c r="H907" s="17" t="s">
        <v>634</v>
      </c>
      <c r="I907" s="18" t="s">
        <v>640</v>
      </c>
      <c r="J907" s="15">
        <v>4788</v>
      </c>
      <c r="K907" s="15">
        <v>228</v>
      </c>
      <c r="L907" s="20">
        <f t="shared" si="133"/>
        <v>4.7619047619047616E-2</v>
      </c>
      <c r="M907" s="12">
        <v>180</v>
      </c>
      <c r="N907" s="12">
        <v>48</v>
      </c>
      <c r="Q907" s="23"/>
    </row>
    <row r="908" spans="1:17">
      <c r="A908" s="25">
        <v>46135</v>
      </c>
      <c r="B908" s="29">
        <v>0.54027777777777775</v>
      </c>
      <c r="C908" s="19">
        <v>46136</v>
      </c>
      <c r="D908" s="24" t="str">
        <f t="shared" si="132"/>
        <v>QVA</v>
      </c>
      <c r="E908" s="13" t="str">
        <f>VLOOKUP(D:D,工作表2!A:B,2,0)</f>
        <v>邦善</v>
      </c>
      <c r="F908" s="13" t="str">
        <f>VLOOKUP(D:D,工作表2!A:C,3,0)</f>
        <v>灰</v>
      </c>
      <c r="G908" s="17">
        <v>10327401</v>
      </c>
      <c r="H908" s="17" t="s">
        <v>606</v>
      </c>
      <c r="I908" s="18" t="s">
        <v>608</v>
      </c>
      <c r="J908" s="15">
        <v>1596</v>
      </c>
      <c r="K908" s="15">
        <v>36</v>
      </c>
      <c r="L908" s="20">
        <f t="shared" si="133"/>
        <v>2.2556390977443608E-2</v>
      </c>
      <c r="M908" s="12">
        <v>30</v>
      </c>
      <c r="N908" s="12">
        <v>6</v>
      </c>
      <c r="Q908" s="23"/>
    </row>
    <row r="909" spans="1:17">
      <c r="A909" s="25">
        <v>46135</v>
      </c>
      <c r="B909" s="29">
        <v>0.5493055555555556</v>
      </c>
      <c r="C909" s="19">
        <v>46136</v>
      </c>
      <c r="D909" s="24" t="str">
        <f t="shared" si="132"/>
        <v>TXA</v>
      </c>
      <c r="E909" s="13" t="str">
        <f>VLOOKUP(D:D,工作表2!A:B,2,0)</f>
        <v>邦善</v>
      </c>
      <c r="F909" s="13" t="str">
        <f>VLOOKUP(D:D,工作表2!A:C,3,0)</f>
        <v>灰</v>
      </c>
      <c r="G909" s="17">
        <v>10327403</v>
      </c>
      <c r="H909" s="17" t="s">
        <v>520</v>
      </c>
      <c r="I909" s="18" t="s">
        <v>532</v>
      </c>
      <c r="J909" s="15">
        <v>1330</v>
      </c>
      <c r="K909" s="15">
        <v>55</v>
      </c>
      <c r="L909" s="20">
        <f t="shared" si="133"/>
        <v>4.1353383458646614E-2</v>
      </c>
      <c r="M909" s="12">
        <v>50</v>
      </c>
      <c r="N909" s="12">
        <v>5</v>
      </c>
      <c r="Q909" s="23"/>
    </row>
    <row r="910" spans="1:17">
      <c r="A910" s="25">
        <v>46135</v>
      </c>
      <c r="B910" s="29">
        <v>0.44722222222222219</v>
      </c>
      <c r="C910" s="19">
        <v>46136</v>
      </c>
      <c r="D910" s="24" t="str">
        <f t="shared" si="132"/>
        <v>TZB</v>
      </c>
      <c r="E910" s="13" t="str">
        <f>VLOOKUP(D:D,工作表2!A:B,2,0)</f>
        <v>邦善</v>
      </c>
      <c r="F910" s="13" t="str">
        <f>VLOOKUP(D:D,工作表2!A:C,3,0)</f>
        <v>黑</v>
      </c>
      <c r="G910" s="17">
        <v>10327406</v>
      </c>
      <c r="H910" s="17" t="s">
        <v>644</v>
      </c>
      <c r="I910" s="18" t="s">
        <v>654</v>
      </c>
      <c r="J910" s="15">
        <v>8778</v>
      </c>
      <c r="K910" s="15">
        <v>350</v>
      </c>
      <c r="L910" s="20">
        <f t="shared" si="133"/>
        <v>3.9872408293460927E-2</v>
      </c>
      <c r="M910" s="12">
        <v>240</v>
      </c>
      <c r="N910" s="12">
        <v>110</v>
      </c>
      <c r="Q910" s="23"/>
    </row>
    <row r="911" spans="1:17">
      <c r="A911" s="25">
        <v>46135</v>
      </c>
      <c r="B911" s="29">
        <v>0.52430555555555558</v>
      </c>
      <c r="C911" s="19">
        <v>46136</v>
      </c>
      <c r="D911" s="24" t="str">
        <f t="shared" si="132"/>
        <v>U3L</v>
      </c>
      <c r="E911" s="13" t="str">
        <f>VLOOKUP(D:D,工作表2!A:B,2,0)</f>
        <v>邦善</v>
      </c>
      <c r="F911" s="13" t="str">
        <f>VLOOKUP(D:D,工作表2!A:C,3,0)</f>
        <v>藍</v>
      </c>
      <c r="G911" s="17">
        <v>10327399</v>
      </c>
      <c r="H911" s="17" t="s">
        <v>392</v>
      </c>
      <c r="I911" s="18" t="s">
        <v>394</v>
      </c>
      <c r="J911" s="15">
        <v>3990</v>
      </c>
      <c r="K911" s="15">
        <v>96</v>
      </c>
      <c r="L911" s="20">
        <f t="shared" si="133"/>
        <v>2.4060150375939851E-2</v>
      </c>
      <c r="M911" s="12">
        <v>87</v>
      </c>
      <c r="N911" s="12">
        <v>9</v>
      </c>
      <c r="Q911" s="23"/>
    </row>
    <row r="912" spans="1:17">
      <c r="A912" s="25">
        <v>46135</v>
      </c>
      <c r="B912" s="29">
        <v>0.55277777777777781</v>
      </c>
      <c r="C912" s="19">
        <v>46136</v>
      </c>
      <c r="D912" s="24" t="str">
        <f t="shared" si="132"/>
        <v>VLS</v>
      </c>
      <c r="E912" s="13" t="str">
        <f>VLOOKUP(D:D,工作表2!A:B,2,0)</f>
        <v>邦善</v>
      </c>
      <c r="F912" s="13" t="str">
        <f>VLOOKUP(D:D,工作表2!A:C,3,0)</f>
        <v>銀</v>
      </c>
      <c r="G912" s="17">
        <v>10327418</v>
      </c>
      <c r="H912" s="17" t="s">
        <v>383</v>
      </c>
      <c r="I912" s="18" t="s">
        <v>388</v>
      </c>
      <c r="J912" s="15">
        <v>1862</v>
      </c>
      <c r="K912" s="15">
        <v>53</v>
      </c>
      <c r="L912" s="20">
        <f t="shared" si="133"/>
        <v>2.8464017185821696E-2</v>
      </c>
      <c r="M912" s="12">
        <v>49</v>
      </c>
      <c r="N912" s="12">
        <v>4</v>
      </c>
      <c r="Q912" s="23"/>
    </row>
    <row r="913" spans="1:17">
      <c r="A913" s="25">
        <v>46128</v>
      </c>
      <c r="B913" s="29">
        <v>0.64027777777777783</v>
      </c>
      <c r="C913" s="19">
        <v>46136</v>
      </c>
      <c r="D913" s="24" t="str">
        <f t="shared" si="132"/>
        <v>SYL</v>
      </c>
      <c r="E913" s="13" t="str">
        <f>VLOOKUP(D:D,工作表2!A:B,2,0)</f>
        <v>邦善</v>
      </c>
      <c r="F913" s="13" t="str">
        <f>VLOOKUP(D:D,工作表2!A:C,3,0)</f>
        <v>藍</v>
      </c>
      <c r="G913" s="17">
        <v>10321938</v>
      </c>
      <c r="H913" s="17" t="s">
        <v>594</v>
      </c>
      <c r="I913" s="18" t="s">
        <v>602</v>
      </c>
      <c r="J913" s="15">
        <v>280</v>
      </c>
      <c r="K913" s="15">
        <v>12</v>
      </c>
      <c r="L913" s="20">
        <f t="shared" si="133"/>
        <v>4.2857142857142858E-2</v>
      </c>
      <c r="M913" s="12">
        <v>9</v>
      </c>
      <c r="N913" s="12">
        <v>3</v>
      </c>
      <c r="Q913" s="23"/>
    </row>
    <row r="914" spans="1:17">
      <c r="A914" s="25">
        <v>46133</v>
      </c>
      <c r="B914" s="29">
        <v>0.44097222222222227</v>
      </c>
      <c r="C914" s="19">
        <v>46136</v>
      </c>
      <c r="D914" s="24" t="str">
        <f t="shared" si="132"/>
        <v>Q9B</v>
      </c>
      <c r="E914" s="13" t="str">
        <f>VLOOKUP(D:D,工作表2!A:B,2,0)</f>
        <v>邦善</v>
      </c>
      <c r="F914" s="13" t="str">
        <f>VLOOKUP(D:D,工作表2!A:C,3,0)</f>
        <v>黑</v>
      </c>
      <c r="G914" s="17">
        <v>10324469</v>
      </c>
      <c r="H914" s="17" t="s">
        <v>939</v>
      </c>
      <c r="I914" s="18" t="s">
        <v>945</v>
      </c>
      <c r="J914" s="15">
        <v>650</v>
      </c>
      <c r="K914" s="15">
        <v>117</v>
      </c>
      <c r="L914" s="20">
        <f t="shared" si="133"/>
        <v>0.18</v>
      </c>
      <c r="M914" s="12">
        <v>84</v>
      </c>
      <c r="N914" s="12">
        <v>33</v>
      </c>
      <c r="P914" s="32" t="s">
        <v>1079</v>
      </c>
      <c r="Q914" s="23" t="str">
        <f>VLOOKUP(H:H,'[1]雷雕處遮蔽&amp;艾仕得8844'!$A:$C,3,0)</f>
        <v>L</v>
      </c>
    </row>
    <row r="915" spans="1:17">
      <c r="A915" s="25">
        <v>46129</v>
      </c>
      <c r="B915" s="29">
        <v>0.3923611111111111</v>
      </c>
      <c r="C915" s="19">
        <v>46136</v>
      </c>
      <c r="D915" s="24" t="str">
        <f t="shared" si="132"/>
        <v>N8B</v>
      </c>
      <c r="E915" s="13" t="str">
        <f>VLOOKUP(D:D,工作表2!A:B,2,0)</f>
        <v>邦善</v>
      </c>
      <c r="F915" s="13" t="str">
        <f>VLOOKUP(D:D,工作表2!A:C,3,0)</f>
        <v>霧面黑</v>
      </c>
      <c r="G915" s="17">
        <v>10324475</v>
      </c>
      <c r="H915" s="17" t="s">
        <v>999</v>
      </c>
      <c r="I915" s="18" t="s">
        <v>1002</v>
      </c>
      <c r="J915" s="15">
        <v>2120</v>
      </c>
      <c r="K915" s="15">
        <v>128</v>
      </c>
      <c r="L915" s="20">
        <f t="shared" si="133"/>
        <v>6.0377358490566038E-2</v>
      </c>
      <c r="M915" s="12">
        <v>100</v>
      </c>
      <c r="N915" s="12">
        <v>28</v>
      </c>
      <c r="Q915" s="23" t="str">
        <f>VLOOKUP(H:H,'[1]雷雕處遮蔽&amp;艾仕得8844'!$A:$C,3,0)</f>
        <v>R</v>
      </c>
    </row>
    <row r="916" spans="1:17">
      <c r="A916" s="25">
        <v>46135</v>
      </c>
      <c r="B916" s="29">
        <v>0.38125000000000003</v>
      </c>
      <c r="C916" s="11">
        <v>46139</v>
      </c>
      <c r="D916" s="24" t="str">
        <f t="shared" ref="D916:D931" si="134">RIGHT(I916,3)</f>
        <v>NBB</v>
      </c>
      <c r="E916" s="13" t="str">
        <f>VLOOKUP(D:D,工作表2!A:B,2,0)</f>
        <v>邦善</v>
      </c>
      <c r="F916" s="13" t="str">
        <f>VLOOKUP(D:D,工作表2!A:C,3,0)</f>
        <v>霧面黑</v>
      </c>
      <c r="G916" s="17">
        <v>10321954</v>
      </c>
      <c r="H916" s="17" t="s">
        <v>369</v>
      </c>
      <c r="I916" s="18" t="s">
        <v>371</v>
      </c>
      <c r="J916" s="15">
        <v>1596</v>
      </c>
      <c r="K916" s="15">
        <v>189</v>
      </c>
      <c r="L916" s="20">
        <f t="shared" ref="L916:L931" si="135">K916/J916</f>
        <v>0.11842105263157894</v>
      </c>
      <c r="M916" s="12">
        <v>154</v>
      </c>
      <c r="N916" s="12">
        <v>35</v>
      </c>
      <c r="Q916" s="23"/>
    </row>
    <row r="917" spans="1:17">
      <c r="A917" s="25">
        <v>46134</v>
      </c>
      <c r="B917" s="29">
        <v>0.60902777777777783</v>
      </c>
      <c r="C917" s="11">
        <v>46139</v>
      </c>
      <c r="D917" s="24" t="str">
        <f t="shared" si="134"/>
        <v>NCB</v>
      </c>
      <c r="E917" s="13" t="str">
        <f>VLOOKUP(D:D,工作表2!A:B,2,0)</f>
        <v>邦善</v>
      </c>
      <c r="F917" s="13" t="str">
        <f>VLOOKUP(D:D,工作表2!A:C,3,0)</f>
        <v>黑</v>
      </c>
      <c r="G917" s="17">
        <v>10321960</v>
      </c>
      <c r="H917" s="17" t="s">
        <v>368</v>
      </c>
      <c r="I917" s="18" t="s">
        <v>370</v>
      </c>
      <c r="J917" s="15">
        <v>2128</v>
      </c>
      <c r="K917" s="15">
        <v>155</v>
      </c>
      <c r="L917" s="20">
        <f t="shared" si="135"/>
        <v>7.2838345864661661E-2</v>
      </c>
      <c r="M917" s="12">
        <v>141</v>
      </c>
      <c r="N917" s="12">
        <v>14</v>
      </c>
      <c r="Q917" s="23"/>
    </row>
    <row r="918" spans="1:17">
      <c r="A918" s="25">
        <v>46134</v>
      </c>
      <c r="B918" s="29">
        <v>0.60625000000000007</v>
      </c>
      <c r="C918" s="19">
        <v>46139</v>
      </c>
      <c r="D918" s="24" t="str">
        <f t="shared" si="134"/>
        <v>RRA</v>
      </c>
      <c r="E918" s="13" t="str">
        <f>VLOOKUP(D:D,工作表2!A:B,2,0)</f>
        <v>邦善</v>
      </c>
      <c r="F918" s="13" t="str">
        <f>VLOOKUP(D:D,工作表2!A:C,3,0)</f>
        <v>灰</v>
      </c>
      <c r="G918" s="17">
        <v>10321961</v>
      </c>
      <c r="H918" s="17" t="s">
        <v>544</v>
      </c>
      <c r="I918" s="18" t="s">
        <v>555</v>
      </c>
      <c r="J918" s="15">
        <v>532</v>
      </c>
      <c r="K918" s="15">
        <v>23</v>
      </c>
      <c r="L918" s="20">
        <f t="shared" si="135"/>
        <v>4.3233082706766915E-2</v>
      </c>
      <c r="M918" s="12">
        <v>21</v>
      </c>
      <c r="N918" s="12">
        <v>2</v>
      </c>
      <c r="Q918" s="23"/>
    </row>
    <row r="919" spans="1:17">
      <c r="A919" s="25">
        <v>46134</v>
      </c>
      <c r="B919" s="29">
        <v>0.65138888888888891</v>
      </c>
      <c r="C919" s="19">
        <v>46139</v>
      </c>
      <c r="D919" s="24" t="str">
        <f t="shared" si="134"/>
        <v>UUS</v>
      </c>
      <c r="E919" s="13" t="str">
        <f>VLOOKUP(D:D,工作表2!A:B,2,0)</f>
        <v>邦善</v>
      </c>
      <c r="F919" s="13" t="str">
        <f>VLOOKUP(D:D,工作表2!A:C,3,0)</f>
        <v>銀</v>
      </c>
      <c r="G919" s="17">
        <v>10321955</v>
      </c>
      <c r="H919" s="17" t="s">
        <v>418</v>
      </c>
      <c r="I919" s="18" t="s">
        <v>421</v>
      </c>
      <c r="J919" s="15">
        <v>798</v>
      </c>
      <c r="K919" s="15">
        <v>36</v>
      </c>
      <c r="L919" s="20">
        <f t="shared" si="135"/>
        <v>4.5112781954887216E-2</v>
      </c>
      <c r="M919" s="12">
        <v>30</v>
      </c>
      <c r="N919" s="12">
        <v>6</v>
      </c>
      <c r="Q919" s="23"/>
    </row>
    <row r="920" spans="1:17">
      <c r="A920" s="25">
        <v>46136</v>
      </c>
      <c r="B920" s="29">
        <v>0.42777777777777781</v>
      </c>
      <c r="C920" s="19">
        <v>46139</v>
      </c>
      <c r="D920" s="24" t="str">
        <f t="shared" si="134"/>
        <v>QRB</v>
      </c>
      <c r="E920" s="13" t="str">
        <f>VLOOKUP(D:D,工作表2!A:B,2,0)</f>
        <v>邦善</v>
      </c>
      <c r="F920" s="13" t="str">
        <f>VLOOKUP(D:D,工作表2!A:C,3,0)</f>
        <v>霧面黑</v>
      </c>
      <c r="G920" s="17">
        <v>10327379</v>
      </c>
      <c r="H920" s="17" t="s">
        <v>170</v>
      </c>
      <c r="I920" s="18" t="s">
        <v>171</v>
      </c>
      <c r="J920" s="15">
        <v>23940</v>
      </c>
      <c r="K920" s="15">
        <v>657</v>
      </c>
      <c r="L920" s="20">
        <f t="shared" si="135"/>
        <v>2.7443609022556392E-2</v>
      </c>
      <c r="M920" s="12">
        <v>580</v>
      </c>
      <c r="N920" s="12">
        <v>75</v>
      </c>
      <c r="O920" s="15">
        <v>2</v>
      </c>
      <c r="Q920" s="23"/>
    </row>
    <row r="921" spans="1:17">
      <c r="A921" s="25">
        <v>46136</v>
      </c>
      <c r="B921" s="29">
        <v>0.60902777777777783</v>
      </c>
      <c r="C921" s="19">
        <v>46139</v>
      </c>
      <c r="D921" s="24" t="str">
        <f t="shared" si="134"/>
        <v>QXR</v>
      </c>
      <c r="E921" s="13" t="str">
        <f>VLOOKUP(D:D,工作表2!A:B,2,0)</f>
        <v>邦善</v>
      </c>
      <c r="F921" s="13" t="str">
        <f>VLOOKUP(D:D,工作表2!A:C,3,0)</f>
        <v>紅</v>
      </c>
      <c r="G921" s="17">
        <v>10327405</v>
      </c>
      <c r="H921" s="17" t="s">
        <v>582</v>
      </c>
      <c r="I921" s="18" t="s">
        <v>586</v>
      </c>
      <c r="J921" s="15">
        <v>266</v>
      </c>
      <c r="K921" s="15">
        <v>16</v>
      </c>
      <c r="L921" s="20">
        <f t="shared" si="135"/>
        <v>6.0150375939849621E-2</v>
      </c>
      <c r="M921" s="12">
        <v>15</v>
      </c>
      <c r="N921" s="12">
        <v>1</v>
      </c>
      <c r="Q921" s="23"/>
    </row>
    <row r="922" spans="1:17">
      <c r="A922" s="25">
        <v>46136</v>
      </c>
      <c r="B922" s="29">
        <v>0.56527777777777777</v>
      </c>
      <c r="C922" s="19">
        <v>46139</v>
      </c>
      <c r="D922" s="24" t="str">
        <f t="shared" si="134"/>
        <v>R2L</v>
      </c>
      <c r="E922" s="13" t="str">
        <f>VLOOKUP(D:D,工作表2!A:B,2,0)</f>
        <v>建榮</v>
      </c>
      <c r="F922" s="13" t="str">
        <f>VLOOKUP(D:D,工作表2!A:C,3,0)</f>
        <v>藍</v>
      </c>
      <c r="G922" s="17">
        <v>10327392</v>
      </c>
      <c r="H922" s="17" t="s">
        <v>584</v>
      </c>
      <c r="I922" s="18" t="s">
        <v>588</v>
      </c>
      <c r="J922" s="15">
        <v>532</v>
      </c>
      <c r="K922" s="15">
        <v>34</v>
      </c>
      <c r="L922" s="20">
        <f t="shared" si="135"/>
        <v>6.3909774436090222E-2</v>
      </c>
      <c r="M922" s="12">
        <v>30</v>
      </c>
      <c r="N922" s="12">
        <v>4</v>
      </c>
      <c r="Q922" s="23"/>
    </row>
    <row r="923" spans="1:17">
      <c r="A923" s="25">
        <v>46136</v>
      </c>
      <c r="B923" s="29">
        <v>0.55694444444444446</v>
      </c>
      <c r="C923" s="19">
        <v>46139</v>
      </c>
      <c r="D923" s="24" t="str">
        <f t="shared" si="134"/>
        <v>S3B</v>
      </c>
      <c r="E923" s="13" t="str">
        <f>VLOOKUP(D:D,工作表2!A:B,2,0)</f>
        <v>邦善</v>
      </c>
      <c r="F923" s="13" t="str">
        <f>VLOOKUP(D:D,工作表2!A:C,3,0)</f>
        <v>黑</v>
      </c>
      <c r="G923" s="17">
        <v>10327414</v>
      </c>
      <c r="H923" s="17" t="s">
        <v>375</v>
      </c>
      <c r="I923" s="18" t="s">
        <v>379</v>
      </c>
      <c r="J923" s="15">
        <v>1862</v>
      </c>
      <c r="K923" s="15">
        <v>40</v>
      </c>
      <c r="L923" s="20">
        <f t="shared" si="135"/>
        <v>2.1482277121374866E-2</v>
      </c>
      <c r="M923" s="12">
        <v>37</v>
      </c>
      <c r="N923" s="12">
        <v>3</v>
      </c>
      <c r="Q923" s="23"/>
    </row>
    <row r="924" spans="1:17">
      <c r="A924" s="25">
        <v>46133</v>
      </c>
      <c r="B924" s="29">
        <v>0.65277777777777779</v>
      </c>
      <c r="C924" s="19">
        <v>46139</v>
      </c>
      <c r="D924" s="24" t="str">
        <f t="shared" si="134"/>
        <v>N8B</v>
      </c>
      <c r="E924" s="13" t="str">
        <f>VLOOKUP(D:D,工作表2!A:B,2,0)</f>
        <v>邦善</v>
      </c>
      <c r="F924" s="13" t="str">
        <f>VLOOKUP(D:D,工作表2!A:C,3,0)</f>
        <v>霧面黑</v>
      </c>
      <c r="G924" s="17">
        <v>10321948</v>
      </c>
      <c r="H924" s="17" t="s">
        <v>5</v>
      </c>
      <c r="I924" s="18" t="s">
        <v>6</v>
      </c>
      <c r="J924" s="15">
        <v>3458</v>
      </c>
      <c r="K924" s="15">
        <v>41</v>
      </c>
      <c r="L924" s="20">
        <f t="shared" si="135"/>
        <v>1.1856564488143435E-2</v>
      </c>
      <c r="M924" s="12">
        <v>31</v>
      </c>
      <c r="N924" s="12">
        <v>10</v>
      </c>
      <c r="Q924" s="23"/>
    </row>
    <row r="925" spans="1:17">
      <c r="A925" s="25">
        <v>46135</v>
      </c>
      <c r="B925" s="29">
        <v>0.58194444444444449</v>
      </c>
      <c r="C925" s="19">
        <v>46139</v>
      </c>
      <c r="D925" s="24" t="str">
        <f t="shared" si="134"/>
        <v>NEA</v>
      </c>
      <c r="E925" s="13" t="str">
        <f>VLOOKUP(D:D,工作表2!A:B,2,0)</f>
        <v>邦善</v>
      </c>
      <c r="F925" s="13" t="str">
        <f>VLOOKUP(D:D,工作表2!A:C,3,0)</f>
        <v>灰</v>
      </c>
      <c r="G925" s="17">
        <v>10321957</v>
      </c>
      <c r="H925" s="17" t="s">
        <v>396</v>
      </c>
      <c r="I925" s="18" t="s">
        <v>398</v>
      </c>
      <c r="J925" s="15">
        <v>1064</v>
      </c>
      <c r="K925" s="15">
        <v>94</v>
      </c>
      <c r="L925" s="20">
        <f t="shared" si="135"/>
        <v>8.834586466165413E-2</v>
      </c>
      <c r="M925" s="12">
        <v>80</v>
      </c>
      <c r="N925" s="12">
        <v>14</v>
      </c>
      <c r="Q925" s="23"/>
    </row>
    <row r="926" spans="1:17">
      <c r="A926" s="25">
        <v>46135</v>
      </c>
      <c r="B926" s="29">
        <v>0.59305555555555556</v>
      </c>
      <c r="C926" s="19">
        <v>46139</v>
      </c>
      <c r="D926" s="24" t="str">
        <f t="shared" si="134"/>
        <v>NGW</v>
      </c>
      <c r="E926" s="13" t="str">
        <f>VLOOKUP(D:D,工作表2!A:B,2,0)</f>
        <v>邦善</v>
      </c>
      <c r="F926" s="13" t="str">
        <f>VLOOKUP(D:D,工作表2!A:C,3,0)</f>
        <v>白</v>
      </c>
      <c r="G926" s="17">
        <v>10321956</v>
      </c>
      <c r="H926" s="17" t="s">
        <v>543</v>
      </c>
      <c r="I926" s="18" t="s">
        <v>554</v>
      </c>
      <c r="J926" s="15">
        <v>798</v>
      </c>
      <c r="K926" s="15">
        <v>30</v>
      </c>
      <c r="L926" s="20">
        <f t="shared" si="135"/>
        <v>3.7593984962406013E-2</v>
      </c>
      <c r="M926" s="12">
        <v>27</v>
      </c>
      <c r="N926" s="12">
        <v>3</v>
      </c>
      <c r="Q926" s="23"/>
    </row>
    <row r="927" spans="1:17">
      <c r="A927" s="25">
        <v>46136</v>
      </c>
      <c r="B927" s="29">
        <v>0.58819444444444446</v>
      </c>
      <c r="C927" s="19">
        <v>46139</v>
      </c>
      <c r="D927" s="24" t="str">
        <f t="shared" si="134"/>
        <v>VPL</v>
      </c>
      <c r="E927" s="13" t="str">
        <f>VLOOKUP(D:D,工作表2!A:B,2,0)</f>
        <v>邦善</v>
      </c>
      <c r="F927" s="13" t="str">
        <f>VLOOKUP(D:D,工作表2!A:C,3,0)</f>
        <v>藍</v>
      </c>
      <c r="G927" s="17">
        <v>10321958</v>
      </c>
      <c r="H927" s="17" t="s">
        <v>325</v>
      </c>
      <c r="I927" s="18" t="s">
        <v>326</v>
      </c>
      <c r="J927" s="15">
        <v>1064</v>
      </c>
      <c r="K927" s="15">
        <v>31</v>
      </c>
      <c r="L927" s="20">
        <f t="shared" si="135"/>
        <v>2.913533834586466E-2</v>
      </c>
      <c r="M927" s="12">
        <v>29</v>
      </c>
      <c r="N927" s="12">
        <v>2</v>
      </c>
      <c r="Q927" s="23"/>
    </row>
    <row r="928" spans="1:17">
      <c r="A928" s="25">
        <v>46134</v>
      </c>
      <c r="B928" s="29">
        <v>0.56041666666666667</v>
      </c>
      <c r="C928" s="19">
        <v>46139</v>
      </c>
      <c r="D928" s="24" t="str">
        <f t="shared" si="134"/>
        <v>N8B</v>
      </c>
      <c r="E928" s="13" t="str">
        <f>VLOOKUP(D:D,工作表2!A:B,2,0)</f>
        <v>邦善</v>
      </c>
      <c r="F928" s="13" t="str">
        <f>VLOOKUP(D:D,工作表2!A:C,3,0)</f>
        <v>霧面黑</v>
      </c>
      <c r="G928" s="17">
        <v>10324467</v>
      </c>
      <c r="H928" s="17" t="s">
        <v>893</v>
      </c>
      <c r="I928" s="18" t="s">
        <v>900</v>
      </c>
      <c r="J928" s="15">
        <v>640</v>
      </c>
      <c r="K928" s="15">
        <v>23</v>
      </c>
      <c r="L928" s="20">
        <f t="shared" si="135"/>
        <v>3.5937499999999997E-2</v>
      </c>
      <c r="M928" s="12">
        <v>13</v>
      </c>
      <c r="N928" s="12">
        <v>10</v>
      </c>
      <c r="Q928" s="23" t="str">
        <f>VLOOKUP(H:H,'[1]雷雕處遮蔽&amp;艾仕得8844'!$A:$C,3,0)</f>
        <v>L</v>
      </c>
    </row>
    <row r="929" spans="1:18">
      <c r="A929" s="25">
        <v>46136</v>
      </c>
      <c r="B929" s="29">
        <v>0.5756944444444444</v>
      </c>
      <c r="C929" s="19">
        <v>46139</v>
      </c>
      <c r="D929" s="24" t="str">
        <f t="shared" si="134"/>
        <v>QFA</v>
      </c>
      <c r="E929" s="13" t="str">
        <f>VLOOKUP(D:D,工作表2!A:B,2,0)</f>
        <v>邦善</v>
      </c>
      <c r="F929" s="13" t="str">
        <f>VLOOKUP(D:D,工作表2!A:C,3,0)</f>
        <v>灰</v>
      </c>
      <c r="G929" s="17">
        <v>10328974</v>
      </c>
      <c r="H929" s="17" t="s">
        <v>630</v>
      </c>
      <c r="I929" s="18" t="s">
        <v>636</v>
      </c>
      <c r="J929" s="15">
        <v>80</v>
      </c>
      <c r="K929" s="15">
        <v>2</v>
      </c>
      <c r="L929" s="20">
        <f t="shared" si="135"/>
        <v>2.5000000000000001E-2</v>
      </c>
      <c r="M929" s="12">
        <v>1</v>
      </c>
      <c r="N929" s="12">
        <v>1</v>
      </c>
      <c r="Q929" s="23"/>
    </row>
    <row r="930" spans="1:18">
      <c r="A930" s="25">
        <v>46133</v>
      </c>
      <c r="B930" s="29">
        <v>0.39097222222222222</v>
      </c>
      <c r="C930" s="19">
        <v>46139</v>
      </c>
      <c r="D930" s="24" t="str">
        <f t="shared" si="134"/>
        <v>N8B</v>
      </c>
      <c r="E930" s="13" t="str">
        <f>VLOOKUP(D:D,工作表2!A:B,2,0)</f>
        <v>邦善</v>
      </c>
      <c r="F930" s="13" t="str">
        <f>VLOOKUP(D:D,工作表2!A:C,3,0)</f>
        <v>霧面黑</v>
      </c>
      <c r="G930" s="17">
        <v>10324474</v>
      </c>
      <c r="H930" s="17" t="s">
        <v>899</v>
      </c>
      <c r="I930" s="18" t="s">
        <v>906</v>
      </c>
      <c r="J930" s="15">
        <v>1880</v>
      </c>
      <c r="K930" s="15">
        <v>116</v>
      </c>
      <c r="L930" s="20">
        <f t="shared" si="135"/>
        <v>6.1702127659574467E-2</v>
      </c>
      <c r="M930" s="12">
        <v>90</v>
      </c>
      <c r="N930" s="12">
        <v>26</v>
      </c>
      <c r="Q930" s="23" t="str">
        <f>VLOOKUP(H:H,'[1]雷雕處遮蔽&amp;艾仕得8844'!$A:$C,3,0)</f>
        <v>L</v>
      </c>
    </row>
    <row r="931" spans="1:18">
      <c r="A931" s="25">
        <v>46136</v>
      </c>
      <c r="C931" s="19">
        <v>46139</v>
      </c>
      <c r="D931" s="24" t="str">
        <f t="shared" si="134"/>
        <v>N8B</v>
      </c>
      <c r="E931" s="13" t="str">
        <f>VLOOKUP(D:D,工作表2!A:B,2,0)</f>
        <v>邦善</v>
      </c>
      <c r="F931" s="13" t="str">
        <f>VLOOKUP(D:D,工作表2!A:C,3,0)</f>
        <v>霧面黑</v>
      </c>
      <c r="G931" s="17">
        <v>10328975</v>
      </c>
      <c r="H931" s="17" t="s">
        <v>613</v>
      </c>
      <c r="I931" s="18" t="s">
        <v>620</v>
      </c>
      <c r="J931" s="15">
        <v>134</v>
      </c>
      <c r="K931" s="15">
        <v>15</v>
      </c>
      <c r="L931" s="20">
        <f t="shared" si="135"/>
        <v>0.11194029850746269</v>
      </c>
      <c r="M931" s="12">
        <v>8</v>
      </c>
      <c r="N931" s="12">
        <v>7</v>
      </c>
      <c r="Q931" s="23" t="str">
        <f>VLOOKUP(H:H,'[1]雷雕處遮蔽&amp;艾仕得8844'!$A:$C,3,0)</f>
        <v>0度頭蓋</v>
      </c>
    </row>
    <row r="932" spans="1:18">
      <c r="A932" s="25">
        <v>46139</v>
      </c>
      <c r="B932" s="29">
        <v>0.39166666666666666</v>
      </c>
      <c r="C932" s="11">
        <v>46140</v>
      </c>
      <c r="D932" s="24" t="str">
        <f t="shared" ref="D932:D943" si="136">RIGHT(I932,3)</f>
        <v>QRB</v>
      </c>
      <c r="E932" s="13" t="str">
        <f>VLOOKUP(D:D,工作表2!A:B,2,0)</f>
        <v>邦善</v>
      </c>
      <c r="F932" s="13" t="str">
        <f>VLOOKUP(D:D,工作表2!A:C,3,0)</f>
        <v>霧面黑</v>
      </c>
      <c r="G932" s="17">
        <v>10327380</v>
      </c>
      <c r="H932" s="17" t="s">
        <v>170</v>
      </c>
      <c r="I932" s="18" t="s">
        <v>171</v>
      </c>
      <c r="J932" s="15">
        <v>26600</v>
      </c>
      <c r="K932" s="15">
        <v>680</v>
      </c>
      <c r="L932" s="20">
        <f t="shared" ref="L932:L943" si="137">K932/J932</f>
        <v>2.5563909774436091E-2</v>
      </c>
      <c r="M932" s="12">
        <v>450</v>
      </c>
      <c r="N932" s="12">
        <v>180</v>
      </c>
      <c r="O932" s="15">
        <v>50</v>
      </c>
      <c r="Q932" s="23"/>
    </row>
    <row r="933" spans="1:18">
      <c r="A933" s="25">
        <v>46134</v>
      </c>
      <c r="B933" s="29">
        <v>0.54305555555555551</v>
      </c>
      <c r="C933" s="11">
        <v>46140</v>
      </c>
      <c r="D933" s="24" t="str">
        <f t="shared" si="136"/>
        <v>N8B</v>
      </c>
      <c r="E933" s="13" t="str">
        <f>VLOOKUP(D:D,工作表2!A:B,2,0)</f>
        <v>邦善</v>
      </c>
      <c r="F933" s="13" t="str">
        <f>VLOOKUP(D:D,工作表2!A:C,3,0)</f>
        <v>霧面黑</v>
      </c>
      <c r="G933" s="17">
        <v>10324503</v>
      </c>
      <c r="H933" s="17" t="s">
        <v>894</v>
      </c>
      <c r="I933" s="18" t="s">
        <v>901</v>
      </c>
      <c r="J933" s="15">
        <v>640</v>
      </c>
      <c r="K933" s="15">
        <v>28</v>
      </c>
      <c r="L933" s="20">
        <f t="shared" si="137"/>
        <v>4.3749999999999997E-2</v>
      </c>
      <c r="M933" s="12">
        <v>19</v>
      </c>
      <c r="N933" s="12">
        <v>9</v>
      </c>
      <c r="Q933" s="23" t="str">
        <f>VLOOKUP(H:H,'[1]雷雕處遮蔽&amp;艾仕得8844'!$A:$C,3,0)</f>
        <v>R</v>
      </c>
    </row>
    <row r="934" spans="1:18">
      <c r="A934" s="25">
        <v>46136</v>
      </c>
      <c r="B934" s="29">
        <v>0.56805555555555554</v>
      </c>
      <c r="C934" s="19">
        <v>46140</v>
      </c>
      <c r="D934" s="24" t="str">
        <f t="shared" si="136"/>
        <v>NEA</v>
      </c>
      <c r="E934" s="13" t="str">
        <f>VLOOKUP(D:D,工作表2!A:B,2,0)</f>
        <v>邦善</v>
      </c>
      <c r="F934" s="13" t="str">
        <f>VLOOKUP(D:D,工作表2!A:C,3,0)</f>
        <v>灰</v>
      </c>
      <c r="G934" s="17">
        <v>10321929</v>
      </c>
      <c r="H934" s="17" t="s">
        <v>563</v>
      </c>
      <c r="I934" s="18" t="s">
        <v>571</v>
      </c>
      <c r="J934" s="15">
        <v>520</v>
      </c>
      <c r="K934" s="15">
        <v>28</v>
      </c>
      <c r="L934" s="20">
        <f t="shared" si="137"/>
        <v>5.3846153846153849E-2</v>
      </c>
      <c r="M934" s="12">
        <v>25</v>
      </c>
      <c r="N934" s="12">
        <v>3</v>
      </c>
      <c r="Q934" s="23" t="str">
        <f>VLOOKUP(H:H,'[1]雷雕處遮蔽&amp;艾仕得8844'!$A:$C,3,0)</f>
        <v>R</v>
      </c>
    </row>
    <row r="935" spans="1:18">
      <c r="A935" s="25">
        <v>46134</v>
      </c>
      <c r="B935" s="29">
        <v>0.64374999999999993</v>
      </c>
      <c r="C935" s="19">
        <v>46140</v>
      </c>
      <c r="D935" s="24" t="str">
        <f t="shared" si="136"/>
        <v>NGW</v>
      </c>
      <c r="E935" s="13" t="str">
        <f>VLOOKUP(D:D,工作表2!A:B,2,0)</f>
        <v>邦善</v>
      </c>
      <c r="F935" s="13" t="str">
        <f>VLOOKUP(D:D,工作表2!A:C,3,0)</f>
        <v>白</v>
      </c>
      <c r="G935" s="17">
        <v>10321949</v>
      </c>
      <c r="H935" s="17" t="s">
        <v>386</v>
      </c>
      <c r="I935" s="18" t="s">
        <v>391</v>
      </c>
      <c r="J935" s="15">
        <v>240</v>
      </c>
      <c r="K935" s="15">
        <v>12</v>
      </c>
      <c r="L935" s="20">
        <f t="shared" si="137"/>
        <v>0.05</v>
      </c>
      <c r="M935" s="12">
        <v>10</v>
      </c>
      <c r="N935" s="12">
        <v>2</v>
      </c>
      <c r="Q935" s="23"/>
    </row>
    <row r="936" spans="1:18">
      <c r="A936" s="25">
        <v>46134</v>
      </c>
      <c r="B936" s="29">
        <v>0.58472222222222225</v>
      </c>
      <c r="C936" s="19">
        <v>46140</v>
      </c>
      <c r="D936" s="24" t="str">
        <f t="shared" si="136"/>
        <v>QFA</v>
      </c>
      <c r="E936" s="13" t="str">
        <f>VLOOKUP(D:D,工作表2!A:B,2,0)</f>
        <v>邦善</v>
      </c>
      <c r="F936" s="13" t="str">
        <f>VLOOKUP(D:D,工作表2!A:C,3,0)</f>
        <v>灰</v>
      </c>
      <c r="G936" s="17">
        <v>10321940</v>
      </c>
      <c r="H936" s="17" t="s">
        <v>630</v>
      </c>
      <c r="I936" s="18" t="s">
        <v>636</v>
      </c>
      <c r="J936" s="15">
        <v>320</v>
      </c>
      <c r="K936" s="15">
        <v>7</v>
      </c>
      <c r="L936" s="20">
        <f t="shared" si="137"/>
        <v>2.1874999999999999E-2</v>
      </c>
      <c r="M936" s="12">
        <v>4</v>
      </c>
      <c r="N936" s="12">
        <v>3</v>
      </c>
      <c r="Q936" s="23"/>
    </row>
    <row r="937" spans="1:18">
      <c r="A937" s="25">
        <v>46134</v>
      </c>
      <c r="B937" s="29">
        <v>0.59861111111111109</v>
      </c>
      <c r="C937" s="19">
        <v>46140</v>
      </c>
      <c r="D937" s="24" t="str">
        <f t="shared" si="136"/>
        <v>QFA</v>
      </c>
      <c r="E937" s="13" t="str">
        <f>VLOOKUP(D:D,工作表2!A:B,2,0)</f>
        <v>邦善</v>
      </c>
      <c r="F937" s="13" t="str">
        <f>VLOOKUP(D:D,工作表2!A:C,3,0)</f>
        <v>灰</v>
      </c>
      <c r="G937" s="17">
        <v>10321941</v>
      </c>
      <c r="H937" s="17" t="s">
        <v>752</v>
      </c>
      <c r="I937" s="18" t="s">
        <v>755</v>
      </c>
      <c r="J937" s="15">
        <v>560</v>
      </c>
      <c r="K937" s="15">
        <v>23</v>
      </c>
      <c r="L937" s="20">
        <f t="shared" si="137"/>
        <v>4.1071428571428571E-2</v>
      </c>
      <c r="M937" s="12">
        <v>18</v>
      </c>
      <c r="N937" s="12">
        <v>5</v>
      </c>
      <c r="Q937" s="23"/>
    </row>
    <row r="938" spans="1:18">
      <c r="A938" s="25">
        <v>46136</v>
      </c>
      <c r="B938" s="29">
        <v>0.38611111111111113</v>
      </c>
      <c r="C938" s="19">
        <v>46140</v>
      </c>
      <c r="D938" s="24" t="str">
        <f t="shared" si="136"/>
        <v>Q9B</v>
      </c>
      <c r="E938" s="13" t="str">
        <f>VLOOKUP(D:D,工作表2!A:B,2,0)</f>
        <v>邦善</v>
      </c>
      <c r="F938" s="13" t="str">
        <f>VLOOKUP(D:D,工作表2!A:C,3,0)</f>
        <v>黑</v>
      </c>
      <c r="G938" s="17">
        <v>10324478</v>
      </c>
      <c r="H938" s="17" t="s">
        <v>939</v>
      </c>
      <c r="I938" s="18" t="s">
        <v>945</v>
      </c>
      <c r="J938" s="15">
        <v>1000</v>
      </c>
      <c r="K938" s="15">
        <v>286</v>
      </c>
      <c r="L938" s="20">
        <f t="shared" si="137"/>
        <v>0.28599999999999998</v>
      </c>
      <c r="M938" s="12">
        <v>240</v>
      </c>
      <c r="N938" s="12">
        <v>46</v>
      </c>
      <c r="P938" s="32" t="s">
        <v>1080</v>
      </c>
      <c r="Q938" s="23" t="str">
        <f>VLOOKUP(H:H,'[1]雷雕處遮蔽&amp;艾仕得8844'!$A:$C,3,0)</f>
        <v>L</v>
      </c>
    </row>
    <row r="939" spans="1:18">
      <c r="A939" s="25">
        <v>46134</v>
      </c>
      <c r="B939" s="29">
        <v>0.5229166666666667</v>
      </c>
      <c r="C939" s="19">
        <v>46140</v>
      </c>
      <c r="D939" s="24" t="str">
        <f t="shared" si="136"/>
        <v>Q9B</v>
      </c>
      <c r="E939" s="13" t="str">
        <f>VLOOKUP(D:D,工作表2!A:B,2,0)</f>
        <v>邦善</v>
      </c>
      <c r="F939" s="13" t="str">
        <f>VLOOKUP(D:D,工作表2!A:C,3,0)</f>
        <v>黑</v>
      </c>
      <c r="G939" s="17">
        <v>10321942</v>
      </c>
      <c r="H939" s="17" t="s">
        <v>967</v>
      </c>
      <c r="I939" s="18" t="s">
        <v>972</v>
      </c>
      <c r="J939" s="15">
        <v>1000</v>
      </c>
      <c r="K939" s="15">
        <v>193</v>
      </c>
      <c r="L939" s="20">
        <f t="shared" si="137"/>
        <v>0.193</v>
      </c>
      <c r="M939" s="12">
        <v>150</v>
      </c>
      <c r="N939" s="12">
        <v>43</v>
      </c>
      <c r="P939" s="32" t="s">
        <v>1080</v>
      </c>
      <c r="Q939" s="23" t="str">
        <f>VLOOKUP(H:H,'[1]雷雕處遮蔽&amp;艾仕得8844'!$A:$C,3,0)</f>
        <v>R</v>
      </c>
      <c r="R939" s="58"/>
    </row>
    <row r="940" spans="1:18">
      <c r="A940" s="25">
        <v>46133</v>
      </c>
      <c r="B940" s="29">
        <v>0.45277777777777778</v>
      </c>
      <c r="C940" s="19">
        <v>46140</v>
      </c>
      <c r="D940" s="24" t="str">
        <f t="shared" si="136"/>
        <v>Q9B</v>
      </c>
      <c r="E940" s="13" t="str">
        <f>VLOOKUP(D:D,工作表2!A:B,2,0)</f>
        <v>邦善</v>
      </c>
      <c r="F940" s="13" t="str">
        <f>VLOOKUP(D:D,工作表2!A:C,3,0)</f>
        <v>黑</v>
      </c>
      <c r="G940" s="17">
        <v>10321943</v>
      </c>
      <c r="H940" s="17" t="s">
        <v>967</v>
      </c>
      <c r="I940" s="18" t="s">
        <v>1081</v>
      </c>
      <c r="J940" s="15">
        <v>350</v>
      </c>
      <c r="K940" s="15">
        <v>57</v>
      </c>
      <c r="L940" s="20">
        <f t="shared" si="137"/>
        <v>0.16285714285714287</v>
      </c>
      <c r="M940" s="12">
        <v>44</v>
      </c>
      <c r="N940" s="12">
        <v>13</v>
      </c>
      <c r="P940" s="32" t="s">
        <v>1076</v>
      </c>
      <c r="Q940" s="23" t="str">
        <f>VLOOKUP(H:H,'[1]雷雕處遮蔽&amp;艾仕得8844'!$A:$C,3,0)</f>
        <v>R</v>
      </c>
      <c r="R940" s="58"/>
    </row>
    <row r="941" spans="1:18">
      <c r="A941" s="25">
        <v>46136</v>
      </c>
      <c r="B941" s="29">
        <v>0.59652777777777777</v>
      </c>
      <c r="C941" s="19">
        <v>46140</v>
      </c>
      <c r="D941" s="24" t="str">
        <f t="shared" si="136"/>
        <v>NGW</v>
      </c>
      <c r="E941" s="13" t="str">
        <f>VLOOKUP(D:D,工作表2!A:B,2,0)</f>
        <v>邦善</v>
      </c>
      <c r="F941" s="13" t="str">
        <f>VLOOKUP(D:D,工作表2!A:C,3,0)</f>
        <v>白</v>
      </c>
      <c r="G941" s="17">
        <v>10321944</v>
      </c>
      <c r="H941" s="17" t="s">
        <v>886</v>
      </c>
      <c r="I941" s="18" t="s">
        <v>888</v>
      </c>
      <c r="J941" s="15">
        <v>800</v>
      </c>
      <c r="K941" s="15">
        <v>38</v>
      </c>
      <c r="L941" s="20">
        <f t="shared" si="137"/>
        <v>4.7500000000000001E-2</v>
      </c>
      <c r="M941" s="12">
        <v>30</v>
      </c>
      <c r="N941" s="12">
        <v>8</v>
      </c>
      <c r="Q941" s="23" t="str">
        <f>VLOOKUP(H:H,'[1]雷雕處遮蔽&amp;艾仕得8844'!$A:$C,3,0)</f>
        <v>L</v>
      </c>
    </row>
    <row r="942" spans="1:18">
      <c r="A942" s="25">
        <v>46134</v>
      </c>
      <c r="B942" s="29">
        <v>0.63680555555555551</v>
      </c>
      <c r="C942" s="19">
        <v>46140</v>
      </c>
      <c r="D942" s="24" t="str">
        <f t="shared" si="136"/>
        <v>R7A</v>
      </c>
      <c r="E942" s="13" t="str">
        <f>VLOOKUP(D:D,工作表2!A:B,2,0)</f>
        <v>邦善</v>
      </c>
      <c r="F942" s="13" t="str">
        <f>VLOOKUP(D:D,工作表2!A:C,3,0)</f>
        <v>灰</v>
      </c>
      <c r="G942" s="17">
        <v>10321927</v>
      </c>
      <c r="H942" s="17" t="s">
        <v>775</v>
      </c>
      <c r="I942" s="18" t="s">
        <v>780</v>
      </c>
      <c r="J942" s="15">
        <v>804</v>
      </c>
      <c r="K942" s="15">
        <v>76</v>
      </c>
      <c r="L942" s="20">
        <f t="shared" si="137"/>
        <v>9.4527363184079602E-2</v>
      </c>
      <c r="M942" s="12">
        <v>40</v>
      </c>
      <c r="N942" s="12">
        <v>36</v>
      </c>
      <c r="Q942" s="23" t="str">
        <f>VLOOKUP(H:H,'[1]雷雕處遮蔽&amp;艾仕得8844'!$A:$C,3,0)</f>
        <v>0度頭蓋</v>
      </c>
    </row>
    <row r="943" spans="1:18">
      <c r="A943" s="25">
        <v>46133</v>
      </c>
      <c r="B943" s="29">
        <v>0.66388888888888886</v>
      </c>
      <c r="C943" s="19">
        <v>46140</v>
      </c>
      <c r="D943" s="24" t="str">
        <f t="shared" si="136"/>
        <v>N8B</v>
      </c>
      <c r="E943" s="13" t="str">
        <f>VLOOKUP(D:D,工作表2!A:B,2,0)</f>
        <v>邦善</v>
      </c>
      <c r="F943" s="13" t="str">
        <f>VLOOKUP(D:D,工作表2!A:C,3,0)</f>
        <v>霧面黑</v>
      </c>
      <c r="G943" s="17">
        <v>10321920</v>
      </c>
      <c r="H943" s="17" t="s">
        <v>613</v>
      </c>
      <c r="I943" s="18" t="s">
        <v>620</v>
      </c>
      <c r="J943" s="15">
        <v>938</v>
      </c>
      <c r="K943" s="15">
        <v>33</v>
      </c>
      <c r="L943" s="20">
        <f t="shared" si="137"/>
        <v>3.5181236673773986E-2</v>
      </c>
      <c r="M943" s="12">
        <v>19</v>
      </c>
      <c r="N943" s="12">
        <v>14</v>
      </c>
      <c r="Q943" s="23" t="str">
        <f>VLOOKUP(H:H,'[1]雷雕處遮蔽&amp;艾仕得8844'!$A:$C,3,0)</f>
        <v>0度頭蓋</v>
      </c>
    </row>
    <row r="944" spans="1:18">
      <c r="A944" s="25">
        <v>46140</v>
      </c>
      <c r="B944" s="29">
        <v>0.6</v>
      </c>
      <c r="C944" s="11">
        <v>46141</v>
      </c>
      <c r="D944" s="24" t="str">
        <f t="shared" ref="D944:D952" si="138">RIGHT(I944,3)</f>
        <v>JJB</v>
      </c>
      <c r="E944" s="13" t="str">
        <f>VLOOKUP(D:D,工作表2!A:B,2,0)</f>
        <v>邦善</v>
      </c>
      <c r="F944" s="13" t="str">
        <f>VLOOKUP(D:D,工作表2!A:C,3,0)</f>
        <v>黑</v>
      </c>
      <c r="G944" s="17">
        <v>10329522</v>
      </c>
      <c r="H944" s="17" t="s">
        <v>1020</v>
      </c>
      <c r="I944" s="18" t="s">
        <v>1022</v>
      </c>
      <c r="J944" s="15">
        <v>30</v>
      </c>
      <c r="K944" s="15">
        <v>5</v>
      </c>
      <c r="L944" s="20">
        <f t="shared" ref="L944:L955" si="139">K944/J944</f>
        <v>0.16666666666666666</v>
      </c>
      <c r="M944" s="12">
        <v>5</v>
      </c>
      <c r="Q944" s="23"/>
    </row>
    <row r="945" spans="1:18">
      <c r="A945" s="25">
        <v>46140</v>
      </c>
      <c r="B945" s="29">
        <v>0.37986111111111115</v>
      </c>
      <c r="C945" s="11">
        <v>46141</v>
      </c>
      <c r="D945" s="24" t="str">
        <f t="shared" si="138"/>
        <v>QRB</v>
      </c>
      <c r="E945" s="13" t="str">
        <f>VLOOKUP(D:D,工作表2!A:B,2,0)</f>
        <v>邦善</v>
      </c>
      <c r="F945" s="13" t="str">
        <f>VLOOKUP(D:D,工作表2!A:C,3,0)</f>
        <v>霧面黑</v>
      </c>
      <c r="G945" s="17">
        <v>10327381</v>
      </c>
      <c r="H945" s="17" t="s">
        <v>170</v>
      </c>
      <c r="I945" s="18" t="s">
        <v>171</v>
      </c>
      <c r="J945" s="15">
        <v>26600</v>
      </c>
      <c r="K945" s="15">
        <v>738</v>
      </c>
      <c r="L945" s="20">
        <f t="shared" si="139"/>
        <v>2.7744360902255637E-2</v>
      </c>
      <c r="M945" s="12">
        <v>593</v>
      </c>
      <c r="N945" s="12">
        <v>135</v>
      </c>
      <c r="O945" s="15">
        <v>10</v>
      </c>
      <c r="Q945" s="23"/>
    </row>
    <row r="946" spans="1:18">
      <c r="A946" s="25">
        <v>46136</v>
      </c>
      <c r="B946" s="29">
        <v>0.57708333333333328</v>
      </c>
      <c r="C946" s="19">
        <v>46141</v>
      </c>
      <c r="D946" s="24" t="str">
        <f t="shared" si="138"/>
        <v>NGW</v>
      </c>
      <c r="E946" s="13" t="str">
        <f>VLOOKUP(D:D,工作表2!A:B,2,0)</f>
        <v>邦善</v>
      </c>
      <c r="F946" s="13" t="str">
        <f>VLOOKUP(D:D,工作表2!A:C,3,0)</f>
        <v>白</v>
      </c>
      <c r="G946" s="17">
        <v>10321930</v>
      </c>
      <c r="H946" s="17" t="s">
        <v>896</v>
      </c>
      <c r="I946" s="18" t="s">
        <v>903</v>
      </c>
      <c r="J946" s="15">
        <v>520</v>
      </c>
      <c r="K946" s="15">
        <v>25</v>
      </c>
      <c r="L946" s="20">
        <f t="shared" si="139"/>
        <v>4.807692307692308E-2</v>
      </c>
      <c r="M946" s="12">
        <v>20</v>
      </c>
      <c r="N946" s="12">
        <v>5</v>
      </c>
      <c r="Q946" s="23" t="str">
        <f>VLOOKUP(H:H,'[1]雷雕處遮蔽&amp;艾仕得8844'!$A:$C,3,0)</f>
        <v>R</v>
      </c>
    </row>
    <row r="947" spans="1:18">
      <c r="A947" s="25">
        <v>46136</v>
      </c>
      <c r="B947" s="29">
        <v>0.59930555555555554</v>
      </c>
      <c r="C947" s="19">
        <v>46141</v>
      </c>
      <c r="D947" s="24" t="str">
        <f t="shared" si="138"/>
        <v>NGW</v>
      </c>
      <c r="E947" s="13" t="str">
        <f>VLOOKUP(D:D,工作表2!A:B,2,0)</f>
        <v>邦善</v>
      </c>
      <c r="F947" s="13" t="str">
        <f>VLOOKUP(D:D,工作表2!A:C,3,0)</f>
        <v>白</v>
      </c>
      <c r="G947" s="17">
        <v>10321937</v>
      </c>
      <c r="H947" s="17" t="s">
        <v>372</v>
      </c>
      <c r="I947" s="18" t="s">
        <v>373</v>
      </c>
      <c r="J947" s="15">
        <v>560</v>
      </c>
      <c r="K947" s="15">
        <v>26</v>
      </c>
      <c r="L947" s="20">
        <f t="shared" si="139"/>
        <v>4.642857142857143E-2</v>
      </c>
      <c r="M947" s="12">
        <v>20</v>
      </c>
      <c r="N947" s="12">
        <v>6</v>
      </c>
      <c r="Q947" s="23"/>
    </row>
    <row r="948" spans="1:18">
      <c r="A948" s="25">
        <v>46136</v>
      </c>
      <c r="B948" s="29" t="s">
        <v>1082</v>
      </c>
      <c r="C948" s="19">
        <v>46141</v>
      </c>
      <c r="D948" s="24" t="str">
        <f t="shared" si="138"/>
        <v>NGW</v>
      </c>
      <c r="E948" s="13" t="str">
        <f>VLOOKUP(D:D,工作表2!A:B,2,0)</f>
        <v>邦善</v>
      </c>
      <c r="F948" s="13" t="str">
        <f>VLOOKUP(D:D,工作表2!A:C,3,0)</f>
        <v>白</v>
      </c>
      <c r="G948" s="17">
        <v>10321936</v>
      </c>
      <c r="H948" s="17" t="s">
        <v>579</v>
      </c>
      <c r="I948" s="18" t="s">
        <v>581</v>
      </c>
      <c r="J948" s="15">
        <v>260</v>
      </c>
      <c r="K948" s="15">
        <v>6</v>
      </c>
      <c r="L948" s="20">
        <f t="shared" si="139"/>
        <v>2.3076923076923078E-2</v>
      </c>
      <c r="M948" s="12">
        <v>4</v>
      </c>
      <c r="N948" s="12">
        <v>2</v>
      </c>
      <c r="Q948" s="23"/>
    </row>
    <row r="949" spans="1:18">
      <c r="A949" s="25">
        <v>46139</v>
      </c>
      <c r="B949" s="29">
        <v>0.62013888888888891</v>
      </c>
      <c r="C949" s="19">
        <v>46141</v>
      </c>
      <c r="D949" s="24" t="str">
        <f t="shared" si="138"/>
        <v>NGW</v>
      </c>
      <c r="E949" s="13" t="str">
        <f>VLOOKUP(D:D,工作表2!A:B,2,0)</f>
        <v>邦善</v>
      </c>
      <c r="F949" s="13" t="str">
        <f>VLOOKUP(D:D,工作表2!A:C,3,0)</f>
        <v>白</v>
      </c>
      <c r="G949" s="17">
        <v>10321935</v>
      </c>
      <c r="H949" s="17" t="s">
        <v>435</v>
      </c>
      <c r="I949" s="18" t="s">
        <v>437</v>
      </c>
      <c r="J949" s="15">
        <v>600</v>
      </c>
      <c r="K949" s="15">
        <v>37</v>
      </c>
      <c r="L949" s="20">
        <f t="shared" si="139"/>
        <v>6.1666666666666668E-2</v>
      </c>
      <c r="M949" s="12">
        <v>30</v>
      </c>
      <c r="N949" s="12">
        <v>7</v>
      </c>
      <c r="Q949" s="23" t="str">
        <f>VLOOKUP(H:H,'[1]雷雕處遮蔽&amp;艾仕得8844'!$A:$C,3,0)</f>
        <v>L</v>
      </c>
    </row>
    <row r="950" spans="1:18">
      <c r="A950" s="25">
        <v>46139</v>
      </c>
      <c r="B950" s="29">
        <v>0.60902777777777783</v>
      </c>
      <c r="C950" s="19">
        <v>46141</v>
      </c>
      <c r="D950" s="24" t="str">
        <f t="shared" si="138"/>
        <v>NGW</v>
      </c>
      <c r="E950" s="13" t="str">
        <f>VLOOKUP(D:D,工作表2!A:B,2,0)</f>
        <v>邦善</v>
      </c>
      <c r="F950" s="13" t="str">
        <f>VLOOKUP(D:D,工作表2!A:C,3,0)</f>
        <v>白</v>
      </c>
      <c r="G950" s="17">
        <v>10321950</v>
      </c>
      <c r="H950" s="17" t="s">
        <v>385</v>
      </c>
      <c r="I950" s="18" t="s">
        <v>390</v>
      </c>
      <c r="J950" s="15">
        <v>440</v>
      </c>
      <c r="K950" s="15">
        <v>17</v>
      </c>
      <c r="L950" s="20">
        <f t="shared" si="139"/>
        <v>3.8636363636363635E-2</v>
      </c>
      <c r="M950" s="12">
        <v>13</v>
      </c>
      <c r="N950" s="12">
        <v>4</v>
      </c>
      <c r="Q950" s="23"/>
    </row>
    <row r="951" spans="1:18">
      <c r="A951" s="25">
        <v>46139</v>
      </c>
      <c r="B951" s="29">
        <v>0.5493055555555556</v>
      </c>
      <c r="C951" s="19">
        <v>46141</v>
      </c>
      <c r="D951" s="24" t="str">
        <f t="shared" si="138"/>
        <v>Q9B</v>
      </c>
      <c r="E951" s="13" t="str">
        <f>VLOOKUP(D:D,工作表2!A:B,2,0)</f>
        <v>邦善</v>
      </c>
      <c r="F951" s="13" t="str">
        <f>VLOOKUP(D:D,工作表2!A:C,3,0)</f>
        <v>黑</v>
      </c>
      <c r="G951" s="17">
        <v>10321946</v>
      </c>
      <c r="H951" s="17" t="s">
        <v>730</v>
      </c>
      <c r="I951" s="18" t="s">
        <v>737</v>
      </c>
      <c r="J951" s="15">
        <v>440</v>
      </c>
      <c r="K951" s="15">
        <v>20</v>
      </c>
      <c r="L951" s="20">
        <f t="shared" si="139"/>
        <v>4.5454545454545456E-2</v>
      </c>
      <c r="M951" s="12">
        <v>15</v>
      </c>
      <c r="N951" s="12">
        <v>5</v>
      </c>
      <c r="Q951" s="23" t="str">
        <f>VLOOKUP(H:H,'[1]雷雕處遮蔽&amp;艾仕得8844'!$A:$C,3,0)</f>
        <v>R</v>
      </c>
    </row>
    <row r="952" spans="1:18">
      <c r="A952" s="25">
        <v>46134</v>
      </c>
      <c r="B952" s="29">
        <v>0.63958333333333328</v>
      </c>
      <c r="C952" s="19">
        <v>46141</v>
      </c>
      <c r="D952" s="24" t="str">
        <f t="shared" si="138"/>
        <v>NGW</v>
      </c>
      <c r="E952" s="13" t="str">
        <f>VLOOKUP(D:D,工作表2!A:B,2,0)</f>
        <v>邦善</v>
      </c>
      <c r="F952" s="13" t="str">
        <f>VLOOKUP(D:D,工作表2!A:C,3,0)</f>
        <v>白</v>
      </c>
      <c r="G952" s="17">
        <v>10321919</v>
      </c>
      <c r="H952" s="17" t="s">
        <v>521</v>
      </c>
      <c r="I952" s="18" t="s">
        <v>533</v>
      </c>
      <c r="J952" s="15">
        <v>938</v>
      </c>
      <c r="K952" s="15">
        <v>63</v>
      </c>
      <c r="L952" s="20">
        <f t="shared" si="139"/>
        <v>6.7164179104477612E-2</v>
      </c>
      <c r="M952" s="12">
        <v>36</v>
      </c>
      <c r="N952" s="12">
        <v>27</v>
      </c>
      <c r="Q952" s="23" t="str">
        <f>VLOOKUP(H:H,'[1]雷雕處遮蔽&amp;艾仕得8844'!$A:$C,3,0)</f>
        <v>0度頭蓋</v>
      </c>
    </row>
    <row r="953" spans="1:18">
      <c r="A953" s="25">
        <v>46141</v>
      </c>
      <c r="B953" s="29">
        <v>0.38472222222222219</v>
      </c>
      <c r="C953" s="11">
        <v>46142</v>
      </c>
      <c r="D953" s="24" t="str">
        <f t="shared" ref="D953:D955" si="140">RIGHT(I953,3)</f>
        <v>QRB</v>
      </c>
      <c r="E953" s="13" t="str">
        <f>VLOOKUP(D:D,工作表2!A:B,2,0)</f>
        <v>邦善</v>
      </c>
      <c r="F953" s="13" t="str">
        <f>VLOOKUP(D:D,工作表2!A:C,3,0)</f>
        <v>霧面黑</v>
      </c>
      <c r="G953" s="17">
        <v>10327382</v>
      </c>
      <c r="H953" s="17" t="s">
        <v>170</v>
      </c>
      <c r="I953" s="18" t="s">
        <v>171</v>
      </c>
      <c r="J953" s="15">
        <v>26600</v>
      </c>
      <c r="K953" s="15">
        <v>650</v>
      </c>
      <c r="L953" s="20">
        <f t="shared" si="139"/>
        <v>2.4436090225563908E-2</v>
      </c>
      <c r="M953" s="12">
        <v>523</v>
      </c>
      <c r="N953" s="12">
        <v>124</v>
      </c>
      <c r="O953" s="15">
        <v>3</v>
      </c>
      <c r="Q953" s="23"/>
    </row>
    <row r="954" spans="1:18">
      <c r="A954" s="25">
        <v>46140</v>
      </c>
      <c r="B954" s="29">
        <v>0.53333333333333333</v>
      </c>
      <c r="C954" s="11">
        <v>46142</v>
      </c>
      <c r="D954" s="24" t="str">
        <f t="shared" si="140"/>
        <v>Q9B</v>
      </c>
      <c r="E954" s="13" t="str">
        <f>VLOOKUP(D:D,工作表2!A:B,2,0)</f>
        <v>邦善</v>
      </c>
      <c r="F954" s="13" t="str">
        <f>VLOOKUP(D:D,工作表2!A:C,3,0)</f>
        <v>黑</v>
      </c>
      <c r="G954" s="17">
        <v>10321947</v>
      </c>
      <c r="H954" s="17" t="s">
        <v>783</v>
      </c>
      <c r="I954" s="18" t="s">
        <v>785</v>
      </c>
      <c r="J954" s="15">
        <v>560</v>
      </c>
      <c r="K954" s="15">
        <v>57</v>
      </c>
      <c r="L954" s="20">
        <f t="shared" si="139"/>
        <v>0.10178571428571428</v>
      </c>
      <c r="M954" s="12">
        <v>40</v>
      </c>
      <c r="N954" s="12">
        <v>17</v>
      </c>
      <c r="Q954" s="23" t="str">
        <f>VLOOKUP(H:H,'[1]雷雕處遮蔽&amp;艾仕得8844'!$A:$C,3,0)</f>
        <v>R</v>
      </c>
    </row>
    <row r="955" spans="1:18">
      <c r="A955" s="25">
        <v>46136</v>
      </c>
      <c r="B955" s="29">
        <v>0.3888888888888889</v>
      </c>
      <c r="C955" s="19">
        <v>46142</v>
      </c>
      <c r="D955" s="24" t="str">
        <f t="shared" si="140"/>
        <v>Q9B</v>
      </c>
      <c r="E955" s="13" t="str">
        <f>VLOOKUP(D:D,工作表2!A:B,2,0)</f>
        <v>邦善</v>
      </c>
      <c r="F955" s="13" t="str">
        <f>VLOOKUP(D:D,工作表2!A:C,3,0)</f>
        <v>黑</v>
      </c>
      <c r="G955" s="17">
        <v>10324479</v>
      </c>
      <c r="H955" s="17" t="s">
        <v>939</v>
      </c>
      <c r="I955" s="18" t="s">
        <v>945</v>
      </c>
      <c r="J955" s="15">
        <v>700</v>
      </c>
      <c r="K955" s="15">
        <v>154</v>
      </c>
      <c r="L955" s="20">
        <f t="shared" si="139"/>
        <v>0.22</v>
      </c>
      <c r="M955" s="12">
        <v>119</v>
      </c>
      <c r="N955" s="12">
        <v>35</v>
      </c>
      <c r="P955" s="32" t="s">
        <v>977</v>
      </c>
      <c r="Q955" s="23" t="str">
        <f>VLOOKUP(H:H,'[1]雷雕處遮蔽&amp;艾仕得8844'!$A:$C,3,0)</f>
        <v>L</v>
      </c>
    </row>
    <row r="956" spans="1:18">
      <c r="A956" s="25">
        <v>46139</v>
      </c>
      <c r="B956" s="29">
        <v>0.6381944444444444</v>
      </c>
      <c r="C956" s="19">
        <v>46142</v>
      </c>
      <c r="D956" s="24" t="str">
        <f t="shared" ref="D956:D978" si="141">RIGHT(I956,3)</f>
        <v>NGW</v>
      </c>
      <c r="E956" s="13" t="str">
        <f>VLOOKUP(D:D,工作表2!A:B,2,0)</f>
        <v>邦善</v>
      </c>
      <c r="F956" s="13" t="str">
        <f>VLOOKUP(D:D,工作表2!A:C,3,0)</f>
        <v>白</v>
      </c>
      <c r="G956" s="17">
        <v>10321934</v>
      </c>
      <c r="H956" s="17" t="s">
        <v>382</v>
      </c>
      <c r="I956" s="18" t="s">
        <v>387</v>
      </c>
      <c r="J956" s="15">
        <v>400</v>
      </c>
      <c r="K956" s="15">
        <v>68</v>
      </c>
      <c r="L956" s="20">
        <f t="shared" ref="L956:L978" si="142">K956/J956</f>
        <v>0.17</v>
      </c>
      <c r="M956" s="12">
        <v>12</v>
      </c>
      <c r="N956" s="12">
        <v>10</v>
      </c>
      <c r="P956" s="32" t="s">
        <v>1083</v>
      </c>
      <c r="Q956" s="23" t="str">
        <f>VLOOKUP(H:H,'[1]雷雕處遮蔽&amp;艾仕得8844'!$A:$C,3,0)</f>
        <v>R</v>
      </c>
      <c r="R956" s="15">
        <v>46</v>
      </c>
    </row>
    <row r="957" spans="1:18">
      <c r="A957" s="25">
        <v>46139</v>
      </c>
      <c r="C957" s="19">
        <v>46142</v>
      </c>
      <c r="D957" s="24" t="str">
        <f t="shared" si="141"/>
        <v>NRR</v>
      </c>
      <c r="E957" s="13" t="str">
        <f>VLOOKUP(D:D,工作表2!A:B,2,0)</f>
        <v>邦善</v>
      </c>
      <c r="F957" s="13" t="str">
        <f>VLOOKUP(D:D,工作表2!A:C,3,0)</f>
        <v>紅</v>
      </c>
      <c r="G957" s="17">
        <v>10321939</v>
      </c>
      <c r="H957" s="17" t="s">
        <v>710</v>
      </c>
      <c r="I957" s="18" t="s">
        <v>721</v>
      </c>
      <c r="J957" s="15">
        <v>280</v>
      </c>
      <c r="K957" s="15">
        <v>17</v>
      </c>
      <c r="L957" s="20">
        <f t="shared" si="142"/>
        <v>6.0714285714285714E-2</v>
      </c>
      <c r="M957" s="12">
        <v>10</v>
      </c>
      <c r="N957" s="12">
        <v>7</v>
      </c>
      <c r="Q957" s="23"/>
    </row>
    <row r="958" spans="1:18">
      <c r="A958" s="25">
        <v>46141</v>
      </c>
      <c r="B958" s="29">
        <v>0.52083333333333337</v>
      </c>
      <c r="C958" s="19">
        <v>46146</v>
      </c>
      <c r="D958" s="24" t="str">
        <f t="shared" si="141"/>
        <v>PLB</v>
      </c>
      <c r="E958" s="13" t="str">
        <f>VLOOKUP(D:D,工作表2!A:B,2,0)</f>
        <v>邦善</v>
      </c>
      <c r="F958" s="13" t="str">
        <f>VLOOKUP(D:D,工作表2!A:C,3,0)</f>
        <v>霧面黑</v>
      </c>
      <c r="G958" s="17">
        <v>10328293</v>
      </c>
      <c r="H958" s="17" t="s">
        <v>408</v>
      </c>
      <c r="I958" s="18" t="s">
        <v>411</v>
      </c>
      <c r="J958" s="15">
        <v>1862</v>
      </c>
      <c r="K958" s="15">
        <v>45</v>
      </c>
      <c r="L958" s="20">
        <f t="shared" si="142"/>
        <v>2.4167561761546726E-2</v>
      </c>
      <c r="M958" s="12">
        <v>40</v>
      </c>
      <c r="N958" s="12">
        <v>5</v>
      </c>
      <c r="Q958" s="23"/>
    </row>
    <row r="959" spans="1:18">
      <c r="A959" s="25">
        <v>46140</v>
      </c>
      <c r="B959" s="29">
        <v>0.55972222222222223</v>
      </c>
      <c r="C959" s="19">
        <v>46146</v>
      </c>
      <c r="D959" s="24" t="str">
        <f t="shared" si="141"/>
        <v>RMG</v>
      </c>
      <c r="E959" s="13" t="str">
        <f>VLOOKUP(D:D,工作表2!A:B,2,0)</f>
        <v>邦善</v>
      </c>
      <c r="F959" s="13" t="str">
        <f>VLOOKUP(D:D,工作表2!A:C,3,0)</f>
        <v>綠</v>
      </c>
      <c r="G959" s="17">
        <v>10328209</v>
      </c>
      <c r="H959" s="17" t="s">
        <v>1084</v>
      </c>
      <c r="I959" s="18" t="s">
        <v>1085</v>
      </c>
      <c r="J959" s="15">
        <v>798</v>
      </c>
      <c r="K959" s="15">
        <v>45</v>
      </c>
      <c r="L959" s="20">
        <f t="shared" si="142"/>
        <v>5.6390977443609019E-2</v>
      </c>
      <c r="M959" s="12">
        <v>40</v>
      </c>
      <c r="N959" s="12">
        <v>5</v>
      </c>
      <c r="P959" s="32" t="s">
        <v>1089</v>
      </c>
      <c r="Q959" s="23"/>
    </row>
    <row r="960" spans="1:18">
      <c r="A960" s="25">
        <v>46142</v>
      </c>
      <c r="B960" s="29">
        <v>0.44444444444444442</v>
      </c>
      <c r="C960" s="11">
        <v>46146</v>
      </c>
      <c r="D960" s="24" t="str">
        <f t="shared" si="141"/>
        <v>QVA</v>
      </c>
      <c r="E960" s="13" t="str">
        <f>VLOOKUP(D:D,工作表2!A:B,2,0)</f>
        <v>邦善</v>
      </c>
      <c r="F960" s="13" t="str">
        <f>VLOOKUP(D:D,工作表2!A:C,3,0)</f>
        <v>灰</v>
      </c>
      <c r="G960" s="17">
        <v>10327402</v>
      </c>
      <c r="H960" s="17" t="s">
        <v>606</v>
      </c>
      <c r="I960" s="18" t="s">
        <v>608</v>
      </c>
      <c r="J960" s="15">
        <v>4256</v>
      </c>
      <c r="K960" s="15">
        <v>120</v>
      </c>
      <c r="L960" s="20">
        <f t="shared" si="142"/>
        <v>2.819548872180451E-2</v>
      </c>
      <c r="M960" s="12">
        <v>110</v>
      </c>
      <c r="N960" s="12">
        <v>10</v>
      </c>
      <c r="Q960" s="23"/>
    </row>
    <row r="961" spans="1:21">
      <c r="A961" s="25">
        <v>46142</v>
      </c>
      <c r="B961" s="29">
        <v>0.47430555555555554</v>
      </c>
      <c r="C961" s="11">
        <v>46146</v>
      </c>
      <c r="D961" s="24" t="str">
        <f t="shared" si="141"/>
        <v>R2L</v>
      </c>
      <c r="E961" s="13" t="str">
        <f>VLOOKUP(D:D,工作表2!A:B,2,0)</f>
        <v>建榮</v>
      </c>
      <c r="F961" s="13" t="str">
        <f>VLOOKUP(D:D,工作表2!A:C,3,0)</f>
        <v>藍</v>
      </c>
      <c r="G961" s="17">
        <v>10327393</v>
      </c>
      <c r="H961" s="17" t="s">
        <v>584</v>
      </c>
      <c r="I961" s="18" t="s">
        <v>588</v>
      </c>
      <c r="J961" s="15">
        <v>1330</v>
      </c>
      <c r="K961" s="15">
        <v>64</v>
      </c>
      <c r="L961" s="20">
        <f t="shared" si="142"/>
        <v>4.8120300751879702E-2</v>
      </c>
      <c r="M961" s="12">
        <v>61</v>
      </c>
      <c r="N961" s="12">
        <v>3</v>
      </c>
      <c r="Q961" s="23"/>
    </row>
    <row r="962" spans="1:21">
      <c r="A962" s="25">
        <v>46142</v>
      </c>
      <c r="B962" s="29">
        <v>0.46180555555555558</v>
      </c>
      <c r="C962" s="19">
        <v>46146</v>
      </c>
      <c r="D962" s="24" t="str">
        <f t="shared" si="141"/>
        <v>S8A</v>
      </c>
      <c r="E962" s="13" t="str">
        <f>VLOOKUP(D:D,工作表2!A:B,2,0)</f>
        <v>邦善</v>
      </c>
      <c r="F962" s="13" t="str">
        <f>VLOOKUP(D:D,工作表2!A:C,3,0)</f>
        <v>灰</v>
      </c>
      <c r="G962" s="17">
        <v>10327412</v>
      </c>
      <c r="H962" s="17" t="s">
        <v>612</v>
      </c>
      <c r="I962" s="18" t="s">
        <v>622</v>
      </c>
      <c r="J962" s="15">
        <v>798</v>
      </c>
      <c r="K962" s="15">
        <v>33</v>
      </c>
      <c r="L962" s="20">
        <f t="shared" si="142"/>
        <v>4.1353383458646614E-2</v>
      </c>
      <c r="M962" s="12">
        <v>28</v>
      </c>
      <c r="N962" s="12">
        <v>5</v>
      </c>
      <c r="Q962" s="23"/>
    </row>
    <row r="963" spans="1:21">
      <c r="A963" s="25">
        <v>46142</v>
      </c>
      <c r="B963" s="29">
        <v>0.52430555555555558</v>
      </c>
      <c r="C963" s="19">
        <v>46146</v>
      </c>
      <c r="D963" s="24" t="str">
        <f t="shared" si="141"/>
        <v>TUR</v>
      </c>
      <c r="E963" s="13" t="str">
        <f>VLOOKUP(D:D,工作表2!A:B,2,0)</f>
        <v>邦善</v>
      </c>
      <c r="F963" s="13" t="str">
        <f>VLOOKUP(D:D,工作表2!A:C,3,0)</f>
        <v>紅</v>
      </c>
      <c r="G963" s="17">
        <v>10327410</v>
      </c>
      <c r="H963" s="17" t="s">
        <v>611</v>
      </c>
      <c r="I963" s="18" t="s">
        <v>621</v>
      </c>
      <c r="J963" s="15">
        <v>1330</v>
      </c>
      <c r="K963" s="15">
        <v>86</v>
      </c>
      <c r="L963" s="20">
        <f t="shared" si="142"/>
        <v>6.4661654135338351E-2</v>
      </c>
      <c r="M963" s="12">
        <v>56</v>
      </c>
      <c r="N963" s="12">
        <v>30</v>
      </c>
      <c r="Q963" s="23"/>
    </row>
    <row r="964" spans="1:21">
      <c r="A964" s="25">
        <v>46142</v>
      </c>
      <c r="B964" s="29">
        <v>0.46527777777777773</v>
      </c>
      <c r="C964" s="19">
        <v>46146</v>
      </c>
      <c r="D964" s="24" t="str">
        <f t="shared" si="141"/>
        <v>VWL</v>
      </c>
      <c r="E964" s="13" t="str">
        <f>VLOOKUP(D:D,工作表2!A:B,2,0)</f>
        <v>邦善</v>
      </c>
      <c r="F964" s="13" t="str">
        <f>VLOOKUP(D:D,工作表2!A:C,3,0)</f>
        <v>藍</v>
      </c>
      <c r="G964" s="17">
        <v>10327417</v>
      </c>
      <c r="H964" s="17" t="s">
        <v>400</v>
      </c>
      <c r="I964" s="18" t="s">
        <v>401</v>
      </c>
      <c r="J964" s="15">
        <v>532</v>
      </c>
      <c r="K964" s="15">
        <v>18</v>
      </c>
      <c r="L964" s="20">
        <f t="shared" si="142"/>
        <v>3.3834586466165412E-2</v>
      </c>
      <c r="M964" s="12">
        <v>13</v>
      </c>
      <c r="N964" s="12">
        <v>5</v>
      </c>
      <c r="Q964" s="23"/>
    </row>
    <row r="965" spans="1:21">
      <c r="A965" s="25">
        <v>46139</v>
      </c>
      <c r="B965" s="29">
        <v>0.57916666666666672</v>
      </c>
      <c r="C965" s="19">
        <v>46146</v>
      </c>
      <c r="D965" s="24" t="str">
        <f t="shared" si="141"/>
        <v>WXL</v>
      </c>
      <c r="E965" s="13" t="str">
        <f>VLOOKUP(D:D,工作表2!A:B,2,0)</f>
        <v>邦善</v>
      </c>
      <c r="F965" s="13" t="str">
        <f>VLOOKUP(D:D,工作表2!A:C,3,0)</f>
        <v>藍</v>
      </c>
      <c r="G965" s="17">
        <v>10321931</v>
      </c>
      <c r="H965" s="17" t="s">
        <v>614</v>
      </c>
      <c r="I965" s="18" t="s">
        <v>623</v>
      </c>
      <c r="J965" s="15">
        <v>560</v>
      </c>
      <c r="K965" s="15">
        <v>58</v>
      </c>
      <c r="L965" s="20">
        <f t="shared" si="142"/>
        <v>0.10357142857142858</v>
      </c>
      <c r="M965" s="12">
        <v>45</v>
      </c>
      <c r="N965" s="12">
        <v>13</v>
      </c>
      <c r="Q965" s="23" t="str">
        <f>VLOOKUP(H:H,'[1]雷雕處遮蔽&amp;艾仕得8844'!$A:$C,3,0)</f>
        <v>R</v>
      </c>
    </row>
    <row r="966" spans="1:21">
      <c r="A966" s="25">
        <v>46140</v>
      </c>
      <c r="B966" s="29">
        <v>0.65138888888888891</v>
      </c>
      <c r="C966" s="19">
        <v>46146</v>
      </c>
      <c r="D966" s="24" t="str">
        <f t="shared" si="141"/>
        <v>RCA</v>
      </c>
      <c r="E966" s="13" t="str">
        <f>VLOOKUP(D:D,工作表2!A:B,2,0)</f>
        <v>邦善</v>
      </c>
      <c r="F966" s="13" t="str">
        <f>VLOOKUP(D:D,工作表2!A:C,3,0)</f>
        <v>灰</v>
      </c>
      <c r="G966" s="17">
        <v>10321928</v>
      </c>
      <c r="H966" s="17" t="s">
        <v>585</v>
      </c>
      <c r="I966" s="18" t="s">
        <v>589</v>
      </c>
      <c r="J966" s="15">
        <v>320</v>
      </c>
      <c r="K966" s="15">
        <v>7</v>
      </c>
      <c r="L966" s="20">
        <f t="shared" si="142"/>
        <v>2.1874999999999999E-2</v>
      </c>
      <c r="M966" s="12">
        <v>5</v>
      </c>
      <c r="N966" s="12">
        <v>2</v>
      </c>
      <c r="Q966" s="23" t="str">
        <f>VLOOKUP(H:H,'[1]雷雕處遮蔽&amp;艾仕得8844'!$A:$C,3,0)</f>
        <v>R</v>
      </c>
    </row>
    <row r="967" spans="1:21">
      <c r="A967" s="25">
        <v>46140</v>
      </c>
      <c r="B967" s="29">
        <v>0.47013888888888888</v>
      </c>
      <c r="C967" s="19">
        <v>46146</v>
      </c>
      <c r="D967" s="24" t="str">
        <f t="shared" si="141"/>
        <v>Q9B</v>
      </c>
      <c r="E967" s="13" t="str">
        <f>VLOOKUP(D:D,工作表2!A:B,2,0)</f>
        <v>邦善</v>
      </c>
      <c r="F967" s="13" t="str">
        <f>VLOOKUP(D:D,工作表2!A:C,3,0)</f>
        <v>黑</v>
      </c>
      <c r="G967" s="17">
        <v>10321966</v>
      </c>
      <c r="H967" s="17" t="s">
        <v>1045</v>
      </c>
      <c r="I967" s="18" t="s">
        <v>1050</v>
      </c>
      <c r="J967" s="15">
        <v>880</v>
      </c>
      <c r="K967" s="15">
        <v>106</v>
      </c>
      <c r="L967" s="20">
        <f t="shared" si="142"/>
        <v>0.12045454545454545</v>
      </c>
      <c r="M967" s="12">
        <v>87</v>
      </c>
      <c r="N967" s="12">
        <v>19</v>
      </c>
      <c r="Q967" s="23" t="str">
        <f>VLOOKUP(H:H,'[1]雷雕處遮蔽&amp;艾仕得8844'!$A:$C,3,0)</f>
        <v>R</v>
      </c>
    </row>
    <row r="968" spans="1:21" ht="17.25" customHeight="1">
      <c r="A968" s="25">
        <v>46139</v>
      </c>
      <c r="C968" s="19">
        <v>46146</v>
      </c>
      <c r="D968" s="24" t="str">
        <f t="shared" si="141"/>
        <v>NRR</v>
      </c>
      <c r="E968" s="13" t="str">
        <f>VLOOKUP(D:D,工作表2!A:B,2,0)</f>
        <v>邦善</v>
      </c>
      <c r="F968" s="13" t="str">
        <f>VLOOKUP(D:D,工作表2!A:C,3,0)</f>
        <v>紅</v>
      </c>
      <c r="G968" s="17">
        <v>10321970</v>
      </c>
      <c r="H968" s="17" t="s">
        <v>710</v>
      </c>
      <c r="I968" s="18" t="s">
        <v>721</v>
      </c>
      <c r="J968" s="15">
        <v>240</v>
      </c>
      <c r="K968" s="15">
        <v>17</v>
      </c>
      <c r="L968" s="20">
        <f t="shared" si="142"/>
        <v>7.0833333333333331E-2</v>
      </c>
      <c r="M968" s="12">
        <v>10</v>
      </c>
      <c r="N968" s="12">
        <v>7</v>
      </c>
      <c r="Q968" s="23"/>
    </row>
    <row r="969" spans="1:21">
      <c r="A969" s="25">
        <v>46140</v>
      </c>
      <c r="B969" s="29">
        <v>0.63888888888888895</v>
      </c>
      <c r="C969" s="19">
        <v>46146</v>
      </c>
      <c r="D969" s="24" t="str">
        <f t="shared" si="141"/>
        <v>QFA</v>
      </c>
      <c r="E969" s="13" t="str">
        <f>VLOOKUP(D:D,工作表2!A:B,2,0)</f>
        <v>邦善</v>
      </c>
      <c r="F969" s="13" t="str">
        <f>VLOOKUP(D:D,工作表2!A:C,3,0)</f>
        <v>灰</v>
      </c>
      <c r="G969" s="17">
        <v>10321971</v>
      </c>
      <c r="H969" s="17" t="s">
        <v>630</v>
      </c>
      <c r="I969" s="18" t="s">
        <v>636</v>
      </c>
      <c r="J969" s="15">
        <v>240</v>
      </c>
      <c r="K969" s="15">
        <v>8</v>
      </c>
      <c r="L969" s="20">
        <f t="shared" si="142"/>
        <v>3.3333333333333333E-2</v>
      </c>
      <c r="M969" s="12">
        <v>6</v>
      </c>
      <c r="N969" s="12">
        <v>2</v>
      </c>
      <c r="Q969" s="23"/>
    </row>
    <row r="970" spans="1:21">
      <c r="A970" s="25">
        <v>46140</v>
      </c>
      <c r="B970" s="29">
        <v>0.64444444444444449</v>
      </c>
      <c r="C970" s="19">
        <v>46146</v>
      </c>
      <c r="D970" s="24" t="str">
        <f t="shared" si="141"/>
        <v>SYL</v>
      </c>
      <c r="E970" s="13" t="str">
        <f>VLOOKUP(D:D,工作表2!A:B,2,0)</f>
        <v>邦善</v>
      </c>
      <c r="F970" s="13" t="str">
        <f>VLOOKUP(D:D,工作表2!A:C,3,0)</f>
        <v>藍</v>
      </c>
      <c r="G970" s="17">
        <v>10321972</v>
      </c>
      <c r="H970" s="17" t="s">
        <v>842</v>
      </c>
      <c r="I970" s="18" t="s">
        <v>855</v>
      </c>
      <c r="J970" s="15">
        <v>280</v>
      </c>
      <c r="K970" s="15">
        <v>3</v>
      </c>
      <c r="L970" s="20">
        <f t="shared" si="142"/>
        <v>1.0714285714285714E-2</v>
      </c>
      <c r="M970" s="12">
        <v>3</v>
      </c>
      <c r="Q970" s="23"/>
    </row>
    <row r="971" spans="1:21">
      <c r="A971" s="25">
        <v>46139</v>
      </c>
      <c r="B971" s="29">
        <v>0.59375</v>
      </c>
      <c r="C971" s="19">
        <v>46146</v>
      </c>
      <c r="D971" s="24" t="str">
        <f t="shared" si="141"/>
        <v>WXL</v>
      </c>
      <c r="E971" s="13" t="str">
        <f>VLOOKUP(D:D,工作表2!A:B,2,0)</f>
        <v>邦善</v>
      </c>
      <c r="F971" s="13" t="str">
        <f>VLOOKUP(D:D,工作表2!A:C,3,0)</f>
        <v>藍</v>
      </c>
      <c r="G971" s="17">
        <v>10321918</v>
      </c>
      <c r="H971" s="17" t="s">
        <v>804</v>
      </c>
      <c r="I971" s="18" t="s">
        <v>806</v>
      </c>
      <c r="J971" s="15">
        <v>520</v>
      </c>
      <c r="K971" s="15">
        <v>31</v>
      </c>
      <c r="L971" s="20">
        <f t="shared" si="142"/>
        <v>5.9615384615384619E-2</v>
      </c>
      <c r="M971" s="12">
        <v>22</v>
      </c>
      <c r="N971" s="12">
        <v>9</v>
      </c>
      <c r="Q971" s="23"/>
    </row>
    <row r="972" spans="1:21">
      <c r="A972" s="25">
        <v>46136</v>
      </c>
      <c r="B972" s="29">
        <v>0.40347222222222223</v>
      </c>
      <c r="C972" s="19">
        <v>46146</v>
      </c>
      <c r="D972" s="24" t="str">
        <f t="shared" si="141"/>
        <v>Q9B</v>
      </c>
      <c r="E972" s="13" t="str">
        <f>VLOOKUP(D:D,工作表2!A:B,2,0)</f>
        <v>邦善</v>
      </c>
      <c r="F972" s="13" t="str">
        <f>VLOOKUP(D:D,工作表2!A:C,3,0)</f>
        <v>黑</v>
      </c>
      <c r="G972" s="17">
        <v>10321973</v>
      </c>
      <c r="H972" s="17" t="s">
        <v>967</v>
      </c>
      <c r="I972" s="18" t="s">
        <v>972</v>
      </c>
      <c r="J972" s="15">
        <v>1000</v>
      </c>
      <c r="K972" s="15">
        <v>280</v>
      </c>
      <c r="L972" s="20">
        <f t="shared" si="142"/>
        <v>0.28000000000000003</v>
      </c>
      <c r="M972" s="12">
        <v>173</v>
      </c>
      <c r="N972" s="12">
        <v>57</v>
      </c>
      <c r="P972" s="32" t="s">
        <v>1086</v>
      </c>
      <c r="Q972" s="23" t="str">
        <f>VLOOKUP(H:H,'[1]雷雕處遮蔽&amp;艾仕得8844'!$A:$C,3,0)</f>
        <v>R</v>
      </c>
      <c r="U972" s="12">
        <v>50</v>
      </c>
    </row>
    <row r="973" spans="1:21">
      <c r="A973" s="25">
        <v>46139</v>
      </c>
      <c r="B973" s="29">
        <v>0.54375000000000007</v>
      </c>
      <c r="C973" s="19">
        <v>46146</v>
      </c>
      <c r="D973" s="24" t="str">
        <f t="shared" si="141"/>
        <v>Q9B</v>
      </c>
      <c r="E973" s="13" t="str">
        <f>VLOOKUP(D:D,工作表2!A:B,2,0)</f>
        <v>邦善</v>
      </c>
      <c r="F973" s="13" t="str">
        <f>VLOOKUP(D:D,工作表2!A:C,3,0)</f>
        <v>黑</v>
      </c>
      <c r="G973" s="17">
        <v>10321974</v>
      </c>
      <c r="H973" s="17" t="s">
        <v>967</v>
      </c>
      <c r="I973" s="18" t="s">
        <v>972</v>
      </c>
      <c r="J973" s="15">
        <v>650</v>
      </c>
      <c r="K973" s="15">
        <v>139</v>
      </c>
      <c r="L973" s="20">
        <f t="shared" si="142"/>
        <v>0.21384615384615385</v>
      </c>
      <c r="M973" s="12">
        <v>77</v>
      </c>
      <c r="N973" s="12">
        <v>62</v>
      </c>
      <c r="P973" s="32" t="s">
        <v>1087</v>
      </c>
      <c r="Q973" s="23" t="str">
        <f>VLOOKUP(H:H,'[1]雷雕處遮蔽&amp;艾仕得8844'!$A:$C,3,0)</f>
        <v>R</v>
      </c>
    </row>
    <row r="974" spans="1:21">
      <c r="A974" s="25">
        <v>46141</v>
      </c>
      <c r="B974" s="29">
        <v>0.55555555555555558</v>
      </c>
      <c r="C974" s="19">
        <v>46146</v>
      </c>
      <c r="D974" s="24" t="str">
        <f t="shared" si="141"/>
        <v>Q9B</v>
      </c>
      <c r="E974" s="13" t="str">
        <f>VLOOKUP(D:D,工作表2!A:B,2,0)</f>
        <v>邦善</v>
      </c>
      <c r="F974" s="13" t="str">
        <f>VLOOKUP(D:D,工作表2!A:C,3,0)</f>
        <v>黑</v>
      </c>
      <c r="G974" s="17">
        <v>10321977</v>
      </c>
      <c r="H974" s="17" t="s">
        <v>730</v>
      </c>
      <c r="I974" s="18" t="s">
        <v>737</v>
      </c>
      <c r="J974" s="15">
        <v>360</v>
      </c>
      <c r="K974" s="15">
        <v>27</v>
      </c>
      <c r="L974" s="20">
        <f t="shared" si="142"/>
        <v>7.4999999999999997E-2</v>
      </c>
      <c r="M974" s="12">
        <v>7</v>
      </c>
      <c r="N974" s="12">
        <v>5</v>
      </c>
      <c r="P974" s="32" t="s">
        <v>1088</v>
      </c>
      <c r="Q974" s="23" t="str">
        <f>VLOOKUP(H:H,'[1]雷雕處遮蔽&amp;艾仕得8844'!$A:$C,3,0)</f>
        <v>R</v>
      </c>
      <c r="U974" s="12">
        <v>15</v>
      </c>
    </row>
    <row r="975" spans="1:21">
      <c r="A975" s="25">
        <v>46136</v>
      </c>
      <c r="B975" s="29">
        <v>0.40833333333333338</v>
      </c>
      <c r="C975" s="19">
        <v>46146</v>
      </c>
      <c r="D975" s="24" t="str">
        <f t="shared" si="141"/>
        <v>Q9B</v>
      </c>
      <c r="E975" s="13" t="str">
        <f>VLOOKUP(D:D,工作表2!A:B,2,0)</f>
        <v>邦善</v>
      </c>
      <c r="F975" s="13" t="str">
        <f>VLOOKUP(D:D,工作表2!A:C,3,0)</f>
        <v>黑</v>
      </c>
      <c r="G975" s="17">
        <v>10321945</v>
      </c>
      <c r="H975" s="17" t="s">
        <v>631</v>
      </c>
      <c r="I975" s="18" t="s">
        <v>637</v>
      </c>
      <c r="J975" s="15">
        <v>384</v>
      </c>
      <c r="K975" s="15">
        <v>17</v>
      </c>
      <c r="L975" s="20">
        <f t="shared" si="142"/>
        <v>4.4270833333333336E-2</v>
      </c>
      <c r="M975" s="12">
        <v>12</v>
      </c>
      <c r="N975" s="12">
        <v>5</v>
      </c>
      <c r="Q975" s="23" t="str">
        <f>VLOOKUP(H:H,'[1]雷雕處遮蔽&amp;艾仕得8844'!$A:$C,3,0)</f>
        <v>L</v>
      </c>
    </row>
    <row r="976" spans="1:21">
      <c r="A976" s="25">
        <v>46141</v>
      </c>
      <c r="B976" s="29">
        <v>0.56944444444444442</v>
      </c>
      <c r="C976" s="19">
        <v>46146</v>
      </c>
      <c r="D976" s="24" t="str">
        <f t="shared" si="141"/>
        <v>Q9B</v>
      </c>
      <c r="E976" s="13" t="str">
        <f>VLOOKUP(D:D,工作表2!A:B,2,0)</f>
        <v>邦善</v>
      </c>
      <c r="F976" s="13" t="str">
        <f>VLOOKUP(D:D,工作表2!A:C,3,0)</f>
        <v>黑</v>
      </c>
      <c r="G976" s="17">
        <v>10321976</v>
      </c>
      <c r="H976" s="17" t="s">
        <v>631</v>
      </c>
      <c r="I976" s="18" t="s">
        <v>637</v>
      </c>
      <c r="J976" s="15">
        <v>408</v>
      </c>
      <c r="K976" s="15">
        <v>26</v>
      </c>
      <c r="L976" s="20">
        <f t="shared" si="142"/>
        <v>6.3725490196078427E-2</v>
      </c>
      <c r="M976" s="12">
        <v>20</v>
      </c>
      <c r="N976" s="12">
        <v>6</v>
      </c>
      <c r="Q976" s="23" t="str">
        <f>VLOOKUP(H:H,'[1]雷雕處遮蔽&amp;艾仕得8844'!$A:$C,3,0)</f>
        <v>L</v>
      </c>
    </row>
    <row r="977" spans="1:17">
      <c r="A977" s="25">
        <v>46139</v>
      </c>
      <c r="B977" s="29">
        <v>0.56458333333333333</v>
      </c>
      <c r="C977" s="19">
        <v>46146</v>
      </c>
      <c r="D977" s="24" t="str">
        <f t="shared" si="141"/>
        <v>Q9B</v>
      </c>
      <c r="E977" s="13" t="str">
        <f>VLOOKUP(D:D,工作表2!A:B,2,0)</f>
        <v>邦善</v>
      </c>
      <c r="F977" s="13" t="str">
        <f>VLOOKUP(D:D,工作表2!A:C,3,0)</f>
        <v>黑</v>
      </c>
      <c r="G977" s="17">
        <v>10321926</v>
      </c>
      <c r="H977" s="17" t="s">
        <v>792</v>
      </c>
      <c r="I977" s="18" t="s">
        <v>798</v>
      </c>
      <c r="J977" s="15">
        <v>560</v>
      </c>
      <c r="K977" s="15">
        <v>53</v>
      </c>
      <c r="L977" s="20">
        <f t="shared" si="142"/>
        <v>9.464285714285714E-2</v>
      </c>
      <c r="M977" s="12">
        <v>40</v>
      </c>
      <c r="N977" s="12">
        <v>13</v>
      </c>
      <c r="Q977" s="23" t="str">
        <f>VLOOKUP(H:H,'[1]雷雕處遮蔽&amp;艾仕得8844'!$A:$C,3,0)</f>
        <v>L</v>
      </c>
    </row>
    <row r="978" spans="1:17">
      <c r="A978" s="25">
        <v>46140</v>
      </c>
      <c r="B978" s="29">
        <v>0.54652777777777783</v>
      </c>
      <c r="C978" s="19">
        <v>46146</v>
      </c>
      <c r="D978" s="24" t="str">
        <f t="shared" si="141"/>
        <v>Q9B</v>
      </c>
      <c r="E978" s="13" t="str">
        <f>VLOOKUP(D:D,工作表2!A:B,2,0)</f>
        <v>邦善</v>
      </c>
      <c r="F978" s="13" t="str">
        <f>VLOOKUP(D:D,工作表2!A:C,3,0)</f>
        <v>黑</v>
      </c>
      <c r="G978" s="17">
        <v>10321959</v>
      </c>
      <c r="H978" s="17" t="s">
        <v>792</v>
      </c>
      <c r="I978" s="18" t="s">
        <v>798</v>
      </c>
      <c r="J978" s="15">
        <v>560</v>
      </c>
      <c r="K978" s="15">
        <v>50</v>
      </c>
      <c r="L978" s="20">
        <f t="shared" si="142"/>
        <v>8.9285714285714288E-2</v>
      </c>
      <c r="M978" s="12">
        <v>40</v>
      </c>
      <c r="N978" s="12">
        <v>10</v>
      </c>
      <c r="Q978" s="23" t="str">
        <f>VLOOKUP(H:H,'[1]雷雕處遮蔽&amp;艾仕得8844'!$A:$C,3,0)</f>
        <v>L</v>
      </c>
    </row>
    <row r="979" spans="1:17">
      <c r="A979" s="25">
        <v>46146</v>
      </c>
      <c r="B979" s="29">
        <v>0.3979166666666667</v>
      </c>
      <c r="C979" s="11">
        <v>46147</v>
      </c>
      <c r="D979" s="24" t="str">
        <f t="shared" ref="D979:D993" si="143">RIGHT(I979,3)</f>
        <v>QRB</v>
      </c>
      <c r="E979" s="13" t="str">
        <f>VLOOKUP(D:D,工作表2!A:B,2,0)</f>
        <v>邦善</v>
      </c>
      <c r="F979" s="13" t="str">
        <f>VLOOKUP(D:D,工作表2!A:C,3,0)</f>
        <v>霧面黑</v>
      </c>
      <c r="G979" s="17">
        <v>10327383</v>
      </c>
      <c r="H979" s="17" t="s">
        <v>170</v>
      </c>
      <c r="I979" s="18" t="s">
        <v>171</v>
      </c>
      <c r="J979" s="15">
        <v>5586</v>
      </c>
      <c r="K979" s="15">
        <v>236</v>
      </c>
      <c r="L979" s="20">
        <f t="shared" ref="L979:L993" si="144">K979/J979</f>
        <v>4.2248478338703904E-2</v>
      </c>
      <c r="M979" s="12">
        <v>156</v>
      </c>
      <c r="N979" s="12">
        <v>80</v>
      </c>
      <c r="Q979" s="23"/>
    </row>
    <row r="980" spans="1:17">
      <c r="A980" s="25">
        <v>46146</v>
      </c>
      <c r="B980" s="29">
        <v>0.54166666666666663</v>
      </c>
      <c r="C980" s="11">
        <v>46147</v>
      </c>
      <c r="D980" s="24" t="str">
        <f t="shared" si="143"/>
        <v>RZG</v>
      </c>
      <c r="E980" s="13" t="str">
        <f>VLOOKUP(D:D,工作表2!A:B,2,0)</f>
        <v>邦善</v>
      </c>
      <c r="F980" s="13" t="str">
        <f>VLOOKUP(D:D,工作表2!A:C,3,0)</f>
        <v>綠</v>
      </c>
      <c r="G980" s="17">
        <v>10327411</v>
      </c>
      <c r="H980" s="17" t="s">
        <v>406</v>
      </c>
      <c r="I980" s="18" t="s">
        <v>409</v>
      </c>
      <c r="J980" s="15">
        <v>1596</v>
      </c>
      <c r="K980" s="15">
        <v>74</v>
      </c>
      <c r="L980" s="20">
        <f t="shared" si="144"/>
        <v>4.6365914786967416E-2</v>
      </c>
      <c r="M980" s="12">
        <v>68</v>
      </c>
      <c r="N980" s="12">
        <v>6</v>
      </c>
      <c r="Q980" s="23"/>
    </row>
    <row r="981" spans="1:17">
      <c r="A981" s="25">
        <v>46142</v>
      </c>
      <c r="B981" s="29">
        <v>0.38055555555555554</v>
      </c>
      <c r="C981" s="19">
        <v>46147</v>
      </c>
      <c r="D981" s="24" t="str">
        <f t="shared" si="143"/>
        <v>S3B</v>
      </c>
      <c r="E981" s="13" t="str">
        <f>VLOOKUP(D:D,工作表2!A:B,2,0)</f>
        <v>邦善</v>
      </c>
      <c r="F981" s="13" t="str">
        <f>VLOOKUP(D:D,工作表2!A:C,3,0)</f>
        <v>黑</v>
      </c>
      <c r="G981" s="17">
        <v>10327415</v>
      </c>
      <c r="H981" s="17" t="s">
        <v>375</v>
      </c>
      <c r="I981" s="18" t="s">
        <v>379</v>
      </c>
      <c r="J981" s="15">
        <v>18354</v>
      </c>
      <c r="K981" s="15">
        <v>593</v>
      </c>
      <c r="L981" s="20">
        <f t="shared" si="144"/>
        <v>3.2309033453198216E-2</v>
      </c>
      <c r="M981" s="12">
        <v>518</v>
      </c>
      <c r="N981" s="12">
        <v>75</v>
      </c>
      <c r="Q981" s="23"/>
    </row>
    <row r="982" spans="1:17">
      <c r="A982" s="25">
        <v>46146</v>
      </c>
      <c r="B982" s="29">
        <v>0.42222222222222222</v>
      </c>
      <c r="C982" s="19">
        <v>46147</v>
      </c>
      <c r="D982" s="24" t="str">
        <f t="shared" si="143"/>
        <v>S3B</v>
      </c>
      <c r="E982" s="13" t="str">
        <f>VLOOKUP(D:D,工作表2!A:B,2,0)</f>
        <v>邦善</v>
      </c>
      <c r="F982" s="13" t="str">
        <f>VLOOKUP(D:D,工作表2!A:C,3,0)</f>
        <v>黑</v>
      </c>
      <c r="G982" s="17">
        <v>10327416</v>
      </c>
      <c r="H982" s="17" t="s">
        <v>375</v>
      </c>
      <c r="I982" s="18" t="s">
        <v>379</v>
      </c>
      <c r="J982" s="15">
        <v>9310</v>
      </c>
      <c r="K982" s="15">
        <v>357</v>
      </c>
      <c r="L982" s="20">
        <f t="shared" si="144"/>
        <v>3.8345864661654135E-2</v>
      </c>
      <c r="M982" s="12">
        <v>260</v>
      </c>
      <c r="N982" s="12">
        <v>97</v>
      </c>
      <c r="Q982" s="23"/>
    </row>
    <row r="983" spans="1:17">
      <c r="A983" s="25">
        <v>46146</v>
      </c>
      <c r="B983" s="29">
        <v>0.45902777777777781</v>
      </c>
      <c r="C983" s="19">
        <v>46147</v>
      </c>
      <c r="D983" s="24" t="str">
        <f t="shared" si="143"/>
        <v>SAA</v>
      </c>
      <c r="E983" s="13" t="str">
        <f>VLOOKUP(D:D,工作表2!A:B,2,0)</f>
        <v>邦善</v>
      </c>
      <c r="F983" s="13" t="str">
        <f>VLOOKUP(D:D,工作表2!A:C,3,0)</f>
        <v>灰</v>
      </c>
      <c r="G983" s="17">
        <v>10327413</v>
      </c>
      <c r="H983" s="17" t="s">
        <v>619</v>
      </c>
      <c r="I983" s="18" t="s">
        <v>628</v>
      </c>
      <c r="J983" s="15">
        <v>9842</v>
      </c>
      <c r="K983" s="15">
        <v>321</v>
      </c>
      <c r="L983" s="20">
        <f t="shared" si="144"/>
        <v>3.2615322089006298E-2</v>
      </c>
      <c r="M983" s="12">
        <v>270</v>
      </c>
      <c r="N983" s="12">
        <v>51</v>
      </c>
      <c r="Q983" s="23"/>
    </row>
    <row r="984" spans="1:17">
      <c r="A984" s="25">
        <v>46141</v>
      </c>
      <c r="B984" s="29">
        <v>0.62361111111111112</v>
      </c>
      <c r="C984" s="19">
        <v>46147</v>
      </c>
      <c r="D984" s="24" t="str">
        <f t="shared" si="143"/>
        <v>H3R</v>
      </c>
      <c r="E984" s="13" t="str">
        <f>VLOOKUP(D:D,工作表2!A:B,2,0)</f>
        <v>敦陽</v>
      </c>
      <c r="F984" s="13" t="str">
        <f>VLOOKUP(D:D,工作表2!A:C,3,0)</f>
        <v>紅</v>
      </c>
      <c r="G984" s="17">
        <v>10327533</v>
      </c>
      <c r="H984" s="17" t="s">
        <v>712</v>
      </c>
      <c r="I984" s="18" t="s">
        <v>718</v>
      </c>
      <c r="J984" s="15">
        <v>40</v>
      </c>
      <c r="K984" s="15">
        <v>6</v>
      </c>
      <c r="L984" s="20">
        <f t="shared" si="144"/>
        <v>0.15</v>
      </c>
      <c r="M984" s="12">
        <v>4</v>
      </c>
      <c r="N984" s="12">
        <v>2</v>
      </c>
      <c r="Q984" s="23"/>
    </row>
    <row r="985" spans="1:17">
      <c r="A985" s="25">
        <v>46141</v>
      </c>
      <c r="B985" s="29">
        <v>0.61527777777777781</v>
      </c>
      <c r="C985" s="19">
        <v>46147</v>
      </c>
      <c r="D985" s="24" t="str">
        <f t="shared" si="143"/>
        <v>4PW</v>
      </c>
      <c r="E985" s="13" t="str">
        <f>VLOOKUP(D:D,工作表2!A:B,2,0)</f>
        <v>敦陽</v>
      </c>
      <c r="F985" s="13" t="str">
        <f>VLOOKUP(D:D,工作表2!A:C,3,0)</f>
        <v>白</v>
      </c>
      <c r="G985" s="17">
        <v>10327538</v>
      </c>
      <c r="H985" s="17" t="s">
        <v>592</v>
      </c>
      <c r="I985" s="18" t="s">
        <v>600</v>
      </c>
      <c r="J985" s="15">
        <v>72</v>
      </c>
      <c r="K985" s="15">
        <v>3</v>
      </c>
      <c r="L985" s="20">
        <f t="shared" si="144"/>
        <v>4.1666666666666664E-2</v>
      </c>
      <c r="M985" s="12">
        <v>3</v>
      </c>
      <c r="Q985" s="23"/>
    </row>
    <row r="986" spans="1:17">
      <c r="A986" s="25">
        <v>46141</v>
      </c>
      <c r="B986" s="29">
        <v>0.62222222222222223</v>
      </c>
      <c r="C986" s="19">
        <v>46147</v>
      </c>
      <c r="D986" s="24" t="str">
        <f t="shared" si="143"/>
        <v>4PW</v>
      </c>
      <c r="E986" s="13" t="str">
        <f>VLOOKUP(D:D,工作表2!A:B,2,0)</f>
        <v>敦陽</v>
      </c>
      <c r="F986" s="13" t="str">
        <f>VLOOKUP(D:D,工作表2!A:C,3,0)</f>
        <v>白</v>
      </c>
      <c r="G986" s="17">
        <v>10327534</v>
      </c>
      <c r="H986" s="17" t="s">
        <v>597</v>
      </c>
      <c r="I986" s="18" t="s">
        <v>605</v>
      </c>
      <c r="J986" s="15">
        <v>80</v>
      </c>
      <c r="K986" s="15">
        <v>14</v>
      </c>
      <c r="L986" s="20">
        <f t="shared" si="144"/>
        <v>0.17499999999999999</v>
      </c>
      <c r="M986" s="12">
        <v>10</v>
      </c>
      <c r="N986" s="12">
        <v>4</v>
      </c>
      <c r="Q986" s="23" t="str">
        <f>VLOOKUP(H:H,'[1]雷雕處遮蔽&amp;艾仕得8844'!$A:$C,3,0)</f>
        <v>23度頭蓋</v>
      </c>
    </row>
    <row r="987" spans="1:17">
      <c r="A987" s="25">
        <v>46140</v>
      </c>
      <c r="B987" s="29">
        <v>0.6069444444444444</v>
      </c>
      <c r="C987" s="19">
        <v>46147</v>
      </c>
      <c r="D987" s="24" t="str">
        <f t="shared" si="143"/>
        <v>N8B</v>
      </c>
      <c r="E987" s="13" t="str">
        <f>VLOOKUP(D:D,工作表2!A:B,2,0)</f>
        <v>邦善</v>
      </c>
      <c r="F987" s="13" t="str">
        <f>VLOOKUP(D:D,工作表2!A:C,3,0)</f>
        <v>霧面黑</v>
      </c>
      <c r="G987" s="17">
        <v>10321964</v>
      </c>
      <c r="H987" s="17" t="s">
        <v>758</v>
      </c>
      <c r="I987" s="18" t="s">
        <v>763</v>
      </c>
      <c r="J987" s="15">
        <v>240</v>
      </c>
      <c r="K987" s="15">
        <v>24</v>
      </c>
      <c r="L987" s="20">
        <f t="shared" si="144"/>
        <v>0.1</v>
      </c>
      <c r="M987" s="12">
        <v>18</v>
      </c>
      <c r="N987" s="12">
        <v>6</v>
      </c>
      <c r="Q987" s="23" t="str">
        <f>VLOOKUP(H:H,'[1]雷雕處遮蔽&amp;艾仕得8844'!$A:$C,3,0)</f>
        <v>R</v>
      </c>
    </row>
    <row r="988" spans="1:17">
      <c r="A988" s="25">
        <v>46142</v>
      </c>
      <c r="B988" s="29">
        <v>0.5708333333333333</v>
      </c>
      <c r="C988" s="19">
        <v>46147</v>
      </c>
      <c r="D988" s="24" t="str">
        <f t="shared" si="143"/>
        <v>RRA</v>
      </c>
      <c r="E988" s="13" t="str">
        <f>VLOOKUP(D:D,工作表2!A:B,2,0)</f>
        <v>邦善</v>
      </c>
      <c r="F988" s="13" t="str">
        <f>VLOOKUP(D:D,工作表2!A:C,3,0)</f>
        <v>灰</v>
      </c>
      <c r="G988" s="17">
        <v>10321965</v>
      </c>
      <c r="H988" s="17" t="s">
        <v>746</v>
      </c>
      <c r="I988" s="18" t="s">
        <v>749</v>
      </c>
      <c r="J988" s="15">
        <v>440</v>
      </c>
      <c r="K988" s="15">
        <v>14</v>
      </c>
      <c r="L988" s="20">
        <f t="shared" si="144"/>
        <v>3.1818181818181815E-2</v>
      </c>
      <c r="M988" s="12">
        <v>10</v>
      </c>
      <c r="N988" s="12">
        <v>4</v>
      </c>
      <c r="Q988" s="23" t="str">
        <f>VLOOKUP(H:H,'[1]雷雕處遮蔽&amp;艾仕得8844'!$A:$C,3,0)</f>
        <v>L</v>
      </c>
    </row>
    <row r="989" spans="1:17">
      <c r="A989" s="25">
        <v>46142</v>
      </c>
      <c r="B989" s="29">
        <v>0.55833333333333335</v>
      </c>
      <c r="C989" s="19">
        <v>46147</v>
      </c>
      <c r="D989" s="24" t="str">
        <f t="shared" si="143"/>
        <v>RRA</v>
      </c>
      <c r="E989" s="13" t="str">
        <f>VLOOKUP(D:D,工作表2!A:B,2,0)</f>
        <v>邦善</v>
      </c>
      <c r="F989" s="13" t="str">
        <f>VLOOKUP(D:D,工作表2!A:C,3,0)</f>
        <v>灰</v>
      </c>
      <c r="G989" s="17">
        <v>10321962</v>
      </c>
      <c r="H989" s="17" t="s">
        <v>995</v>
      </c>
      <c r="I989" s="18" t="s">
        <v>996</v>
      </c>
      <c r="J989" s="15">
        <v>320</v>
      </c>
      <c r="K989" s="15">
        <v>8</v>
      </c>
      <c r="L989" s="20">
        <f t="shared" si="144"/>
        <v>2.5000000000000001E-2</v>
      </c>
      <c r="M989" s="12">
        <v>6</v>
      </c>
      <c r="N989" s="12">
        <v>2</v>
      </c>
      <c r="Q989" s="23" t="str">
        <f>VLOOKUP(H:H,'[1]雷雕處遮蔽&amp;艾仕得8844'!$A:$C,3,0)</f>
        <v>R</v>
      </c>
    </row>
    <row r="990" spans="1:17">
      <c r="A990" s="25">
        <v>46141</v>
      </c>
      <c r="B990" s="29">
        <v>0.57916666666666672</v>
      </c>
      <c r="C990" s="19">
        <v>46147</v>
      </c>
      <c r="D990" s="24" t="str">
        <f t="shared" si="143"/>
        <v>NGW</v>
      </c>
      <c r="E990" s="13" t="str">
        <f>VLOOKUP(D:D,工作表2!A:B,2,0)</f>
        <v>邦善</v>
      </c>
      <c r="F990" s="13" t="str">
        <f>VLOOKUP(D:D,工作表2!A:C,3,0)</f>
        <v>白</v>
      </c>
      <c r="G990" s="17">
        <v>10321979</v>
      </c>
      <c r="H990" s="17" t="s">
        <v>386</v>
      </c>
      <c r="I990" s="18" t="s">
        <v>391</v>
      </c>
      <c r="J990" s="15">
        <v>280</v>
      </c>
      <c r="K990" s="15">
        <v>15</v>
      </c>
      <c r="L990" s="20">
        <f t="shared" si="144"/>
        <v>5.3571428571428568E-2</v>
      </c>
      <c r="M990" s="12">
        <v>9</v>
      </c>
      <c r="N990" s="12">
        <v>6</v>
      </c>
      <c r="Q990" s="23"/>
    </row>
    <row r="991" spans="1:17">
      <c r="A991" s="25">
        <v>46141</v>
      </c>
      <c r="B991" s="29">
        <v>0.58680555555555558</v>
      </c>
      <c r="C991" s="19">
        <v>46147</v>
      </c>
      <c r="D991" s="24" t="str">
        <f t="shared" si="143"/>
        <v>NGW</v>
      </c>
      <c r="E991" s="13" t="str">
        <f>VLOOKUP(D:D,工作表2!A:B,2,0)</f>
        <v>邦善</v>
      </c>
      <c r="F991" s="13" t="str">
        <f>VLOOKUP(D:D,工作表2!A:C,3,0)</f>
        <v>白</v>
      </c>
      <c r="G991" s="17">
        <v>10321980</v>
      </c>
      <c r="H991" s="17" t="s">
        <v>385</v>
      </c>
      <c r="I991" s="18" t="s">
        <v>390</v>
      </c>
      <c r="J991" s="15">
        <v>560</v>
      </c>
      <c r="K991" s="15">
        <v>29</v>
      </c>
      <c r="L991" s="20">
        <f t="shared" si="144"/>
        <v>5.1785714285714289E-2</v>
      </c>
      <c r="M991" s="12">
        <v>22</v>
      </c>
      <c r="N991" s="12">
        <v>7</v>
      </c>
      <c r="Q991" s="23"/>
    </row>
    <row r="992" spans="1:17">
      <c r="A992" s="25">
        <v>46141</v>
      </c>
      <c r="B992" s="29">
        <v>0.52638888888888891</v>
      </c>
      <c r="C992" s="19">
        <v>46147</v>
      </c>
      <c r="D992" s="24" t="str">
        <f t="shared" si="143"/>
        <v>Q9B</v>
      </c>
      <c r="E992" s="13" t="str">
        <f>VLOOKUP(D:D,工作表2!A:B,2,0)</f>
        <v>邦善</v>
      </c>
      <c r="F992" s="13" t="str">
        <f>VLOOKUP(D:D,工作表2!A:C,3,0)</f>
        <v>黑</v>
      </c>
      <c r="G992" s="17">
        <v>10324797</v>
      </c>
      <c r="H992" s="17" t="s">
        <v>939</v>
      </c>
      <c r="I992" s="18" t="s">
        <v>945</v>
      </c>
      <c r="J992" s="15">
        <v>1000</v>
      </c>
      <c r="K992" s="15">
        <v>273</v>
      </c>
      <c r="L992" s="20">
        <f t="shared" si="144"/>
        <v>0.27300000000000002</v>
      </c>
      <c r="M992" s="12">
        <v>180</v>
      </c>
      <c r="N992" s="12">
        <v>93</v>
      </c>
      <c r="P992" s="32" t="s">
        <v>1090</v>
      </c>
      <c r="Q992" s="23" t="str">
        <f>VLOOKUP(H:H,'[1]雷雕處遮蔽&amp;艾仕得8844'!$A:$C,3,0)</f>
        <v>L</v>
      </c>
    </row>
    <row r="993" spans="1:18">
      <c r="A993" s="25">
        <v>46142</v>
      </c>
      <c r="B993" s="29">
        <v>0.53749999999999998</v>
      </c>
      <c r="C993" s="19">
        <v>46147</v>
      </c>
      <c r="D993" s="24" t="str">
        <f t="shared" si="143"/>
        <v>RRA</v>
      </c>
      <c r="E993" s="13" t="str">
        <f>VLOOKUP(D:D,工作表2!A:B,2,0)</f>
        <v>邦善</v>
      </c>
      <c r="F993" s="13" t="str">
        <f>VLOOKUP(D:D,工作表2!A:C,3,0)</f>
        <v>灰</v>
      </c>
      <c r="G993" s="17">
        <v>10321975</v>
      </c>
      <c r="H993" s="17" t="s">
        <v>833</v>
      </c>
      <c r="I993" s="18" t="s">
        <v>834</v>
      </c>
      <c r="J993" s="15">
        <v>520</v>
      </c>
      <c r="K993" s="15">
        <v>16</v>
      </c>
      <c r="L993" s="20">
        <f t="shared" si="144"/>
        <v>3.0769230769230771E-2</v>
      </c>
      <c r="M993" s="12">
        <v>9</v>
      </c>
      <c r="N993" s="12">
        <v>7</v>
      </c>
      <c r="Q993" s="23" t="str">
        <f>VLOOKUP(H:H,'[1]雷雕處遮蔽&amp;艾仕得8844'!$A:$C,3,0)</f>
        <v>L</v>
      </c>
    </row>
    <row r="994" spans="1:18">
      <c r="A994" s="25">
        <v>46142</v>
      </c>
      <c r="B994" s="29">
        <v>0.53194444444444444</v>
      </c>
      <c r="C994" s="11">
        <v>46148</v>
      </c>
      <c r="D994" s="24" t="str">
        <f t="shared" ref="D994:D999" si="145">RIGHT(I994,3)</f>
        <v>BBB</v>
      </c>
      <c r="E994" s="13" t="str">
        <f>VLOOKUP(D:D,工作表2!A:B,2,0)</f>
        <v>邦善</v>
      </c>
      <c r="F994" s="13" t="str">
        <f>VLOOKUP(D:D,工作表2!A:C,3,0)</f>
        <v>霧面黑</v>
      </c>
      <c r="G994" s="17">
        <v>10325699</v>
      </c>
      <c r="H994" s="17" t="s">
        <v>928</v>
      </c>
      <c r="I994" s="18" t="s">
        <v>929</v>
      </c>
      <c r="J994" s="15">
        <v>320</v>
      </c>
      <c r="K994" s="15">
        <v>2</v>
      </c>
      <c r="L994" s="20">
        <f t="shared" ref="L994:L1013" si="146">K994/J994</f>
        <v>6.2500000000000003E-3</v>
      </c>
      <c r="M994" s="12">
        <v>2</v>
      </c>
      <c r="Q994" s="23"/>
    </row>
    <row r="995" spans="1:18">
      <c r="A995" s="25">
        <v>46147</v>
      </c>
      <c r="B995" s="29">
        <v>0.38055555555555554</v>
      </c>
      <c r="C995" s="11">
        <v>46148</v>
      </c>
      <c r="D995" s="24" t="str">
        <f t="shared" si="145"/>
        <v>QRB</v>
      </c>
      <c r="E995" s="13" t="str">
        <f>VLOOKUP(D:D,工作表2!A:B,2,0)</f>
        <v>邦善</v>
      </c>
      <c r="F995" s="13" t="str">
        <f>VLOOKUP(D:D,工作表2!A:C,3,0)</f>
        <v>霧面黑</v>
      </c>
      <c r="G995" s="17">
        <v>10327384</v>
      </c>
      <c r="H995" s="17" t="s">
        <v>170</v>
      </c>
      <c r="I995" s="18" t="s">
        <v>171</v>
      </c>
      <c r="J995" s="15">
        <v>26600</v>
      </c>
      <c r="K995" s="15">
        <v>680</v>
      </c>
      <c r="L995" s="20">
        <f t="shared" si="146"/>
        <v>2.5563909774436091E-2</v>
      </c>
      <c r="M995" s="12">
        <v>420</v>
      </c>
      <c r="N995" s="12">
        <v>258</v>
      </c>
      <c r="O995" s="15">
        <v>2</v>
      </c>
      <c r="Q995" s="23"/>
    </row>
    <row r="996" spans="1:18">
      <c r="A996" s="25">
        <v>46146</v>
      </c>
      <c r="B996" s="29">
        <v>0.55694444444444446</v>
      </c>
      <c r="C996" s="19">
        <v>46148</v>
      </c>
      <c r="D996" s="24" t="str">
        <f t="shared" si="145"/>
        <v>NGW</v>
      </c>
      <c r="E996" s="13" t="str">
        <f>VLOOKUP(D:D,工作表2!A:B,2,0)</f>
        <v>邦善</v>
      </c>
      <c r="F996" s="13" t="str">
        <f>VLOOKUP(D:D,工作表2!A:C,3,0)</f>
        <v>白</v>
      </c>
      <c r="G996" s="17">
        <v>10321951</v>
      </c>
      <c r="H996" s="17" t="s">
        <v>521</v>
      </c>
      <c r="I996" s="18" t="s">
        <v>529</v>
      </c>
      <c r="J996" s="15">
        <v>938</v>
      </c>
      <c r="K996" s="15">
        <v>98</v>
      </c>
      <c r="L996" s="20">
        <f t="shared" si="146"/>
        <v>0.1044776119402985</v>
      </c>
      <c r="M996" s="12">
        <v>61</v>
      </c>
      <c r="N996" s="12">
        <v>37</v>
      </c>
      <c r="Q996" s="23" t="str">
        <f>VLOOKUP(H:H,'[1]雷雕處遮蔽&amp;艾仕得8844'!$A:$C,3,0)</f>
        <v>0度頭蓋</v>
      </c>
    </row>
    <row r="997" spans="1:18">
      <c r="A997" s="25">
        <v>46141</v>
      </c>
      <c r="B997" s="29">
        <v>0.60416666666666663</v>
      </c>
      <c r="C997" s="19">
        <v>46148</v>
      </c>
      <c r="D997" s="24" t="str">
        <f t="shared" si="145"/>
        <v>NGW</v>
      </c>
      <c r="E997" s="13" t="str">
        <f>VLOOKUP(D:D,工作表2!A:B,2,0)</f>
        <v>邦善</v>
      </c>
      <c r="F997" s="13" t="str">
        <f>VLOOKUP(D:D,工作表2!A:C,3,0)</f>
        <v>白</v>
      </c>
      <c r="G997" s="17">
        <v>10321963</v>
      </c>
      <c r="H997" s="17" t="s">
        <v>882</v>
      </c>
      <c r="I997" s="18" t="s">
        <v>884</v>
      </c>
      <c r="J997" s="15">
        <v>440</v>
      </c>
      <c r="K997" s="15">
        <v>24</v>
      </c>
      <c r="L997" s="20">
        <f t="shared" si="146"/>
        <v>5.4545454545454543E-2</v>
      </c>
      <c r="M997" s="12">
        <v>16</v>
      </c>
      <c r="N997" s="12">
        <v>8</v>
      </c>
      <c r="Q997" s="23" t="str">
        <f>VLOOKUP(H:H,'[1]雷雕處遮蔽&amp;艾仕得8844'!$A:$C,3,0)</f>
        <v>L</v>
      </c>
    </row>
    <row r="998" spans="1:18">
      <c r="A998" s="25">
        <v>46147</v>
      </c>
      <c r="B998" s="29">
        <v>0.6333333333333333</v>
      </c>
      <c r="C998" s="19">
        <v>46148</v>
      </c>
      <c r="D998" s="24" t="str">
        <f t="shared" si="145"/>
        <v>NGW</v>
      </c>
      <c r="E998" s="13" t="str">
        <f>VLOOKUP(D:D,工作表2!A:B,2,0)</f>
        <v>邦善</v>
      </c>
      <c r="F998" s="13" t="str">
        <f>VLOOKUP(D:D,工作表2!A:C,3,0)</f>
        <v>白</v>
      </c>
      <c r="G998" s="17">
        <v>10321968</v>
      </c>
      <c r="H998" s="17" t="s">
        <v>377</v>
      </c>
      <c r="I998" s="18" t="s">
        <v>381</v>
      </c>
      <c r="J998" s="15">
        <v>680</v>
      </c>
      <c r="K998" s="15">
        <v>49</v>
      </c>
      <c r="L998" s="20">
        <f t="shared" si="146"/>
        <v>7.2058823529411759E-2</v>
      </c>
      <c r="M998" s="12">
        <v>35</v>
      </c>
      <c r="N998" s="12">
        <v>7</v>
      </c>
      <c r="P998" s="32" t="s">
        <v>1091</v>
      </c>
      <c r="Q998" s="23"/>
      <c r="R998" s="15">
        <v>7</v>
      </c>
    </row>
    <row r="999" spans="1:18">
      <c r="A999" s="25">
        <v>46146</v>
      </c>
      <c r="B999" s="29">
        <v>0.56319444444444444</v>
      </c>
      <c r="C999" s="19">
        <v>46148</v>
      </c>
      <c r="D999" s="24" t="str">
        <f t="shared" si="145"/>
        <v>NGW</v>
      </c>
      <c r="E999" s="13" t="str">
        <f>VLOOKUP(D:D,工作表2!A:B,2,0)</f>
        <v>邦善</v>
      </c>
      <c r="F999" s="13" t="str">
        <f>VLOOKUP(D:D,工作表2!A:C,3,0)</f>
        <v>白</v>
      </c>
      <c r="G999" s="17">
        <v>10321967</v>
      </c>
      <c r="H999" s="17" t="s">
        <v>579</v>
      </c>
      <c r="I999" s="18" t="s">
        <v>533</v>
      </c>
      <c r="J999" s="15">
        <v>270</v>
      </c>
      <c r="K999" s="15">
        <v>12</v>
      </c>
      <c r="L999" s="20">
        <f t="shared" si="146"/>
        <v>4.4444444444444446E-2</v>
      </c>
      <c r="M999" s="12">
        <v>10</v>
      </c>
      <c r="N999" s="12">
        <v>2</v>
      </c>
      <c r="Q999" s="23"/>
    </row>
    <row r="1000" spans="1:18">
      <c r="A1000" s="25">
        <v>46148</v>
      </c>
      <c r="B1000" s="29">
        <v>0.45833333333333331</v>
      </c>
      <c r="C1000" s="11">
        <v>46149</v>
      </c>
      <c r="D1000" s="24" t="str">
        <f t="shared" ref="D1000:D1013" si="147">RIGHT(I1000,3)</f>
        <v>Q9B</v>
      </c>
      <c r="E1000" s="13" t="str">
        <f>VLOOKUP(D:D,工作表2!A:B,2,0)</f>
        <v>邦善</v>
      </c>
      <c r="F1000" s="13" t="str">
        <f>VLOOKUP(D:D,工作表2!A:C,3,0)</f>
        <v>黑</v>
      </c>
      <c r="G1000" s="17">
        <v>10324823</v>
      </c>
      <c r="H1000" s="17" t="s">
        <v>967</v>
      </c>
      <c r="I1000" s="18" t="s">
        <v>972</v>
      </c>
      <c r="J1000" s="15">
        <v>1000</v>
      </c>
      <c r="K1000" s="15">
        <v>284</v>
      </c>
      <c r="L1000" s="20">
        <f t="shared" si="146"/>
        <v>0.28399999999999997</v>
      </c>
      <c r="M1000" s="12">
        <v>178</v>
      </c>
      <c r="N1000" s="12">
        <v>106</v>
      </c>
      <c r="P1000" s="32" t="s">
        <v>1094</v>
      </c>
      <c r="Q1000" s="23" t="str">
        <f>VLOOKUP(H:H,'[1]雷雕處遮蔽&amp;艾仕得8844'!$A:$C,3,0)</f>
        <v>R</v>
      </c>
    </row>
    <row r="1001" spans="1:18">
      <c r="A1001" s="25">
        <v>46146</v>
      </c>
      <c r="B1001" s="29">
        <v>0.38055555555555554</v>
      </c>
      <c r="C1001" s="19">
        <v>46149</v>
      </c>
      <c r="D1001" s="24" t="str">
        <f t="shared" si="147"/>
        <v>NBB</v>
      </c>
      <c r="E1001" s="13" t="str">
        <f>VLOOKUP(D:D,工作表2!A:B,2,0)</f>
        <v>邦善</v>
      </c>
      <c r="F1001" s="13" t="str">
        <f>VLOOKUP(D:D,工作表2!A:C,3,0)</f>
        <v>霧面黑</v>
      </c>
      <c r="G1001" s="17">
        <v>10324804</v>
      </c>
      <c r="H1001" s="17" t="s">
        <v>369</v>
      </c>
      <c r="I1001" s="18" t="s">
        <v>371</v>
      </c>
      <c r="J1001" s="15">
        <v>3724</v>
      </c>
      <c r="K1001" s="15">
        <v>116</v>
      </c>
      <c r="L1001" s="20">
        <f t="shared" si="146"/>
        <v>3.1149301825993556E-2</v>
      </c>
      <c r="M1001" s="12">
        <v>90</v>
      </c>
      <c r="N1001" s="12">
        <v>26</v>
      </c>
      <c r="P1001" s="32" t="s">
        <v>976</v>
      </c>
    </row>
    <row r="1002" spans="1:18">
      <c r="A1002" s="25">
        <v>46146</v>
      </c>
      <c r="B1002" s="29">
        <v>0.60416666666666663</v>
      </c>
      <c r="C1002" s="19">
        <v>46149</v>
      </c>
      <c r="D1002" s="24" t="str">
        <f t="shared" si="147"/>
        <v>6HA</v>
      </c>
      <c r="E1002" s="13" t="str">
        <f>VLOOKUP(D:D,工作表2!A:B,2,0)</f>
        <v>敦陽</v>
      </c>
      <c r="F1002" s="13" t="str">
        <f>VLOOKUP(D:D,工作表2!A:C,3,0)</f>
        <v>灰</v>
      </c>
      <c r="G1002" s="17">
        <v>10327535</v>
      </c>
      <c r="H1002" s="17" t="s">
        <v>740</v>
      </c>
      <c r="I1002" s="18" t="s">
        <v>742</v>
      </c>
      <c r="J1002" s="15">
        <v>50</v>
      </c>
      <c r="K1002" s="15">
        <v>3</v>
      </c>
      <c r="L1002" s="20">
        <f t="shared" si="146"/>
        <v>0.06</v>
      </c>
      <c r="M1002" s="12">
        <v>3</v>
      </c>
      <c r="N1002" s="12">
        <v>0</v>
      </c>
      <c r="Q1002" s="23"/>
    </row>
    <row r="1003" spans="1:18">
      <c r="A1003" s="25">
        <v>46147</v>
      </c>
      <c r="B1003" s="29">
        <v>0.5493055555555556</v>
      </c>
      <c r="C1003" s="19">
        <v>46149</v>
      </c>
      <c r="D1003" s="24" t="str">
        <f t="shared" si="147"/>
        <v>QRB</v>
      </c>
      <c r="E1003" s="13" t="str">
        <f>VLOOKUP(D:D,工作表2!A:B,2,0)</f>
        <v>邦善</v>
      </c>
      <c r="F1003" s="13" t="str">
        <f>VLOOKUP(D:D,工作表2!A:C,3,0)</f>
        <v>霧面黑</v>
      </c>
      <c r="G1003" s="17">
        <v>10327385</v>
      </c>
      <c r="H1003" s="17" t="s">
        <v>170</v>
      </c>
      <c r="I1003" s="18" t="s">
        <v>171</v>
      </c>
      <c r="J1003" s="15">
        <v>7182</v>
      </c>
      <c r="K1003" s="15">
        <v>223</v>
      </c>
      <c r="L1003" s="20">
        <f t="shared" si="146"/>
        <v>3.1049846839320522E-2</v>
      </c>
      <c r="M1003" s="12">
        <v>171</v>
      </c>
      <c r="N1003" s="12">
        <v>47</v>
      </c>
      <c r="O1003" s="15">
        <v>5</v>
      </c>
    </row>
    <row r="1004" spans="1:18">
      <c r="A1004" s="25">
        <v>46147</v>
      </c>
      <c r="B1004" s="29">
        <v>0.54652777777777783</v>
      </c>
      <c r="C1004" s="19">
        <v>46149</v>
      </c>
      <c r="D1004" s="24" t="str">
        <f t="shared" si="147"/>
        <v>XGA</v>
      </c>
      <c r="E1004" s="13" t="str">
        <f>VLOOKUP(D:D,工作表2!A:B,2,0)</f>
        <v>敦陽</v>
      </c>
      <c r="F1004" s="13" t="str">
        <f>VLOOKUP(D:D,工作表2!A:C,3,0)</f>
        <v>銀灰</v>
      </c>
      <c r="G1004" s="17">
        <v>10326857</v>
      </c>
      <c r="H1004" s="17" t="s">
        <v>911</v>
      </c>
      <c r="I1004" s="18" t="s">
        <v>915</v>
      </c>
      <c r="J1004" s="15">
        <v>180</v>
      </c>
      <c r="K1004" s="15">
        <v>7</v>
      </c>
      <c r="L1004" s="20">
        <f t="shared" si="146"/>
        <v>3.888888888888889E-2</v>
      </c>
      <c r="M1004" s="12">
        <v>6</v>
      </c>
      <c r="N1004" s="12">
        <v>1</v>
      </c>
    </row>
    <row r="1005" spans="1:18">
      <c r="A1005" s="25">
        <v>46146</v>
      </c>
      <c r="B1005" s="29">
        <v>0.56805555555555554</v>
      </c>
      <c r="C1005" s="19">
        <v>46149</v>
      </c>
      <c r="D1005" s="24" t="str">
        <f t="shared" si="147"/>
        <v>XGA</v>
      </c>
      <c r="E1005" s="13" t="str">
        <f>VLOOKUP(D:D,工作表2!A:B,2,0)</f>
        <v>敦陽</v>
      </c>
      <c r="F1005" s="13" t="str">
        <f>VLOOKUP(D:D,工作表2!A:C,3,0)</f>
        <v>銀灰</v>
      </c>
      <c r="G1005" s="17">
        <v>10326855</v>
      </c>
      <c r="H1005" s="17" t="s">
        <v>910</v>
      </c>
      <c r="I1005" s="18" t="s">
        <v>914</v>
      </c>
      <c r="J1005" s="15">
        <v>170</v>
      </c>
      <c r="K1005" s="15">
        <v>12</v>
      </c>
      <c r="L1005" s="20">
        <f t="shared" si="146"/>
        <v>7.0588235294117646E-2</v>
      </c>
      <c r="M1005" s="12">
        <v>10</v>
      </c>
      <c r="N1005" s="12">
        <v>2</v>
      </c>
    </row>
    <row r="1006" spans="1:18">
      <c r="A1006" s="25">
        <v>46146</v>
      </c>
      <c r="B1006" s="29">
        <v>0.57708333333333328</v>
      </c>
      <c r="C1006" s="19">
        <v>46149</v>
      </c>
      <c r="D1006" s="24" t="str">
        <f t="shared" si="147"/>
        <v>HHY</v>
      </c>
      <c r="E1006" s="13" t="str">
        <f>VLOOKUP(D:D,工作表2!A:B,2,0)</f>
        <v>敦陽</v>
      </c>
      <c r="F1006" s="13" t="str">
        <f>VLOOKUP(D:D,工作表2!A:C,3,0)</f>
        <v>黃</v>
      </c>
      <c r="G1006" s="17">
        <v>10327539</v>
      </c>
      <c r="H1006" s="17" t="s">
        <v>1092</v>
      </c>
      <c r="I1006" s="18" t="s">
        <v>1093</v>
      </c>
      <c r="J1006" s="15">
        <v>30</v>
      </c>
      <c r="K1006" s="15">
        <v>2</v>
      </c>
      <c r="L1006" s="20">
        <f t="shared" si="146"/>
        <v>6.6666666666666666E-2</v>
      </c>
      <c r="M1006" s="12">
        <v>2</v>
      </c>
      <c r="N1006" s="12">
        <v>0</v>
      </c>
    </row>
    <row r="1007" spans="1:18">
      <c r="A1007" s="25">
        <v>46146</v>
      </c>
      <c r="B1007" s="29">
        <v>0.60347222222222219</v>
      </c>
      <c r="C1007" s="19">
        <v>46149</v>
      </c>
      <c r="D1007" s="24" t="str">
        <f t="shared" si="147"/>
        <v>NGW</v>
      </c>
      <c r="E1007" s="13" t="str">
        <f>VLOOKUP(D:D,工作表2!A:B,2,0)</f>
        <v>邦善</v>
      </c>
      <c r="F1007" s="13" t="str">
        <f>VLOOKUP(D:D,工作表2!A:C,3,0)</f>
        <v>白</v>
      </c>
      <c r="G1007" s="17">
        <v>10324800</v>
      </c>
      <c r="H1007" s="17" t="s">
        <v>543</v>
      </c>
      <c r="I1007" s="18" t="s">
        <v>554</v>
      </c>
      <c r="J1007" s="15">
        <v>1862</v>
      </c>
      <c r="K1007" s="15">
        <v>91</v>
      </c>
      <c r="L1007" s="20">
        <f t="shared" si="146"/>
        <v>4.8872180451127817E-2</v>
      </c>
      <c r="M1007" s="12">
        <v>65</v>
      </c>
      <c r="N1007" s="12">
        <v>26</v>
      </c>
    </row>
    <row r="1008" spans="1:18">
      <c r="A1008" s="25">
        <v>46146</v>
      </c>
      <c r="B1008" s="29">
        <v>0.60486111111111118</v>
      </c>
      <c r="C1008" s="19">
        <v>46149</v>
      </c>
      <c r="D1008" s="24" t="str">
        <f t="shared" si="147"/>
        <v>NGW</v>
      </c>
      <c r="E1008" s="13" t="str">
        <f>VLOOKUP(D:D,工作表2!A:B,2,0)</f>
        <v>邦善</v>
      </c>
      <c r="F1008" s="13" t="str">
        <f>VLOOKUP(D:D,工作表2!A:C,3,0)</f>
        <v>白</v>
      </c>
      <c r="G1008" s="17">
        <v>10321978</v>
      </c>
      <c r="H1008" s="17" t="s">
        <v>517</v>
      </c>
      <c r="I1008" s="18" t="s">
        <v>529</v>
      </c>
      <c r="J1008" s="15">
        <v>360</v>
      </c>
      <c r="K1008" s="15">
        <v>39</v>
      </c>
      <c r="L1008" s="20">
        <f t="shared" si="146"/>
        <v>0.10833333333333334</v>
      </c>
      <c r="M1008" s="12">
        <v>25</v>
      </c>
      <c r="N1008" s="12">
        <v>14</v>
      </c>
      <c r="Q1008" s="23" t="str">
        <f>VLOOKUP(H:H,'[1]雷雕處遮蔽&amp;艾仕得8844'!$A:$C,3,0)</f>
        <v>L</v>
      </c>
    </row>
    <row r="1009" spans="1:17">
      <c r="A1009" s="25">
        <v>46146</v>
      </c>
      <c r="B1009" s="29">
        <v>0.60555555555555551</v>
      </c>
      <c r="C1009" s="19">
        <v>46149</v>
      </c>
      <c r="D1009" s="24" t="str">
        <f t="shared" si="147"/>
        <v>NBB</v>
      </c>
      <c r="E1009" s="13" t="str">
        <f>VLOOKUP(D:D,工作表2!A:B,2,0)</f>
        <v>邦善</v>
      </c>
      <c r="F1009" s="13" t="str">
        <f>VLOOKUP(D:D,工作表2!A:C,3,0)</f>
        <v>霧面黑</v>
      </c>
      <c r="G1009" s="17">
        <v>10331014</v>
      </c>
      <c r="H1009" s="17" t="s">
        <v>369</v>
      </c>
      <c r="I1009" s="18" t="s">
        <v>371</v>
      </c>
      <c r="J1009" s="15">
        <v>532</v>
      </c>
      <c r="K1009" s="15">
        <v>32</v>
      </c>
      <c r="L1009" s="20">
        <f t="shared" si="146"/>
        <v>6.0150375939849621E-2</v>
      </c>
      <c r="M1009" s="12">
        <v>22</v>
      </c>
      <c r="N1009" s="12">
        <v>10</v>
      </c>
      <c r="P1009" s="32" t="s">
        <v>976</v>
      </c>
    </row>
    <row r="1010" spans="1:17">
      <c r="A1010" s="25">
        <v>46148</v>
      </c>
      <c r="B1010" s="29">
        <v>0.39444444444444443</v>
      </c>
      <c r="C1010" s="19">
        <v>46149</v>
      </c>
      <c r="D1010" s="24" t="str">
        <f t="shared" si="147"/>
        <v>NBB</v>
      </c>
      <c r="E1010" s="13" t="str">
        <f>VLOOKUP(D:D,工作表2!A:B,2,0)</f>
        <v>邦善</v>
      </c>
      <c r="F1010" s="13" t="str">
        <f>VLOOKUP(D:D,工作表2!A:C,3,0)</f>
        <v>霧面黑</v>
      </c>
      <c r="G1010" s="17">
        <v>10324473</v>
      </c>
      <c r="H1010" s="17" t="s">
        <v>306</v>
      </c>
      <c r="I1010" s="18" t="s">
        <v>307</v>
      </c>
      <c r="J1010" s="15">
        <v>6650</v>
      </c>
      <c r="K1010" s="15">
        <v>82</v>
      </c>
      <c r="L1010" s="20">
        <f t="shared" si="146"/>
        <v>1.2330827067669173E-2</v>
      </c>
      <c r="M1010" s="12">
        <v>67</v>
      </c>
      <c r="N1010" s="12">
        <v>15</v>
      </c>
    </row>
    <row r="1011" spans="1:17">
      <c r="A1011" s="25">
        <v>46146</v>
      </c>
      <c r="B1011" s="29">
        <v>0.60069444444444442</v>
      </c>
      <c r="C1011" s="19">
        <v>46149</v>
      </c>
      <c r="D1011" s="24" t="str">
        <f t="shared" si="147"/>
        <v>84B</v>
      </c>
      <c r="E1011" s="13" t="str">
        <f>VLOOKUP(D:D,工作表2!A:B,2,0)</f>
        <v>敦陽</v>
      </c>
      <c r="F1011" s="13" t="str">
        <f>VLOOKUP(D:D,工作表2!A:C,3,0)</f>
        <v>黑</v>
      </c>
      <c r="G1011" s="17">
        <v>10327540</v>
      </c>
      <c r="H1011" s="17" t="s">
        <v>546</v>
      </c>
      <c r="I1011" s="18" t="s">
        <v>557</v>
      </c>
      <c r="J1011" s="15">
        <v>40</v>
      </c>
      <c r="K1011" s="15">
        <v>1</v>
      </c>
      <c r="L1011" s="20">
        <f t="shared" si="146"/>
        <v>2.5000000000000001E-2</v>
      </c>
      <c r="M1011" s="12">
        <v>1</v>
      </c>
      <c r="N1011" s="12">
        <v>0</v>
      </c>
      <c r="Q1011" s="23" t="str">
        <f>VLOOKUP(H:H,'[1]雷雕處遮蔽&amp;艾仕得8844'!$A:$C,3,0)</f>
        <v>0度頭蓋</v>
      </c>
    </row>
    <row r="1012" spans="1:17">
      <c r="A1012" s="25">
        <v>46147</v>
      </c>
      <c r="B1012" s="29">
        <v>0.53055555555555556</v>
      </c>
      <c r="C1012" s="19">
        <v>46149</v>
      </c>
      <c r="D1012" s="24" t="str">
        <f t="shared" si="147"/>
        <v>Q9B</v>
      </c>
      <c r="E1012" s="13" t="str">
        <f>VLOOKUP(D:D,工作表2!A:B,2,0)</f>
        <v>邦善</v>
      </c>
      <c r="F1012" s="13" t="str">
        <f>VLOOKUP(D:D,工作表2!A:C,3,0)</f>
        <v>黑</v>
      </c>
      <c r="G1012" s="17">
        <v>10324798</v>
      </c>
      <c r="H1012" s="17" t="s">
        <v>939</v>
      </c>
      <c r="I1012" s="18" t="s">
        <v>945</v>
      </c>
      <c r="J1012" s="15">
        <v>650</v>
      </c>
      <c r="K1012" s="15">
        <v>202</v>
      </c>
      <c r="L1012" s="20">
        <f t="shared" si="146"/>
        <v>0.31076923076923074</v>
      </c>
      <c r="M1012" s="12">
        <v>180</v>
      </c>
      <c r="N1012" s="12">
        <v>22</v>
      </c>
      <c r="P1012" s="32" t="s">
        <v>977</v>
      </c>
      <c r="Q1012" s="23" t="str">
        <f>VLOOKUP(H:H,'[1]雷雕處遮蔽&amp;艾仕得8844'!$A:$C,3,0)</f>
        <v>L</v>
      </c>
    </row>
    <row r="1013" spans="1:17">
      <c r="A1013" s="25">
        <v>46146</v>
      </c>
      <c r="B1013" s="29">
        <v>0.39166666666666666</v>
      </c>
      <c r="C1013" s="19">
        <v>46149</v>
      </c>
      <c r="D1013" s="24" t="str">
        <f t="shared" si="147"/>
        <v>QUW</v>
      </c>
      <c r="E1013" s="13" t="str">
        <f>VLOOKUP(D:D,工作表2!A:B,2,0)</f>
        <v>邦善</v>
      </c>
      <c r="F1013" s="13" t="str">
        <f>VLOOKUP(D:D,工作表2!A:C,3,0)</f>
        <v>白</v>
      </c>
      <c r="G1013" s="17">
        <v>10327398</v>
      </c>
      <c r="H1013" s="17" t="s">
        <v>634</v>
      </c>
      <c r="I1013" s="18" t="s">
        <v>640</v>
      </c>
      <c r="J1013" s="15">
        <v>7182</v>
      </c>
      <c r="K1013" s="15">
        <v>246</v>
      </c>
      <c r="L1013" s="20">
        <f t="shared" si="146"/>
        <v>3.4252297410192145E-2</v>
      </c>
      <c r="M1013" s="12">
        <v>211</v>
      </c>
      <c r="N1013" s="12">
        <v>35</v>
      </c>
    </row>
    <row r="1014" spans="1:17">
      <c r="A1014" s="25">
        <v>46147</v>
      </c>
      <c r="B1014" s="29">
        <v>0.63194444444444442</v>
      </c>
      <c r="C1014" s="11">
        <v>46150</v>
      </c>
      <c r="D1014" s="24" t="str">
        <f t="shared" ref="D1014:D1033" si="148">RIGHT(I1014,3)</f>
        <v>HJA</v>
      </c>
      <c r="E1014" s="13" t="str">
        <f>VLOOKUP(D:D,工作表2!A:B,2,0)</f>
        <v>邦善</v>
      </c>
      <c r="F1014" s="13" t="str">
        <f>VLOOKUP(D:D,工作表2!A:C,3,0)</f>
        <v>灰</v>
      </c>
      <c r="G1014" s="17">
        <v>10328268</v>
      </c>
      <c r="H1014" s="17" t="s">
        <v>818</v>
      </c>
      <c r="I1014" s="18" t="s">
        <v>827</v>
      </c>
      <c r="J1014" s="15">
        <v>40</v>
      </c>
      <c r="K1014" s="15">
        <v>3</v>
      </c>
      <c r="L1014" s="20">
        <f t="shared" ref="L1014:L1033" si="149">K1014/J1014</f>
        <v>7.4999999999999997E-2</v>
      </c>
      <c r="M1014" s="12">
        <v>3</v>
      </c>
    </row>
    <row r="1015" spans="1:17">
      <c r="A1015" s="25">
        <v>46148</v>
      </c>
      <c r="B1015" s="29">
        <v>0.54375000000000007</v>
      </c>
      <c r="C1015" s="11">
        <v>46150</v>
      </c>
      <c r="D1015" s="24" t="str">
        <f t="shared" si="148"/>
        <v>HLL</v>
      </c>
      <c r="E1015" s="13" t="str">
        <f>VLOOKUP(D:D,工作表2!A:B,2,0)</f>
        <v>邦善</v>
      </c>
      <c r="F1015" s="13" t="str">
        <f>VLOOKUP(D:D,工作表2!A:C,3,0)</f>
        <v>藍</v>
      </c>
      <c r="G1015" s="17">
        <v>10328281</v>
      </c>
      <c r="H1015" s="17" t="s">
        <v>819</v>
      </c>
      <c r="I1015" s="18" t="s">
        <v>828</v>
      </c>
      <c r="J1015" s="15">
        <v>30</v>
      </c>
      <c r="K1015" s="15">
        <v>4</v>
      </c>
      <c r="L1015" s="20">
        <f t="shared" si="149"/>
        <v>0.13333333333333333</v>
      </c>
      <c r="M1015" s="12">
        <v>2</v>
      </c>
      <c r="N1015" s="12">
        <v>2</v>
      </c>
    </row>
    <row r="1016" spans="1:17">
      <c r="A1016" s="25">
        <v>46147</v>
      </c>
      <c r="B1016" s="29">
        <v>0.62986111111111109</v>
      </c>
      <c r="C1016" s="19">
        <v>46150</v>
      </c>
      <c r="D1016" s="24" t="str">
        <f t="shared" si="148"/>
        <v>HPP</v>
      </c>
      <c r="E1016" s="13" t="str">
        <f>VLOOKUP(D:D,工作表2!A:B,2,0)</f>
        <v>邦善</v>
      </c>
      <c r="F1016" s="13" t="str">
        <f>VLOOKUP(D:D,工作表2!A:C,3,0)</f>
        <v>紫</v>
      </c>
      <c r="G1016" s="17">
        <v>10328282</v>
      </c>
      <c r="H1016" s="17" t="s">
        <v>958</v>
      </c>
      <c r="I1016" s="18" t="s">
        <v>960</v>
      </c>
      <c r="J1016" s="15">
        <v>40</v>
      </c>
      <c r="K1016" s="15">
        <v>5</v>
      </c>
      <c r="L1016" s="20">
        <f t="shared" si="149"/>
        <v>0.125</v>
      </c>
      <c r="M1016" s="12">
        <v>4</v>
      </c>
      <c r="N1016" s="12">
        <v>1</v>
      </c>
      <c r="Q1016" s="23"/>
    </row>
    <row r="1017" spans="1:17">
      <c r="A1017" s="25">
        <v>46148</v>
      </c>
      <c r="B1017" s="29">
        <v>0.41736111111111113</v>
      </c>
      <c r="C1017" s="19">
        <v>46150</v>
      </c>
      <c r="D1017" s="24" t="str">
        <f t="shared" si="148"/>
        <v>TXA</v>
      </c>
      <c r="E1017" s="13" t="str">
        <f>VLOOKUP(D:D,工作表2!A:B,2,0)</f>
        <v>邦善</v>
      </c>
      <c r="F1017" s="13" t="str">
        <f>VLOOKUP(D:D,工作表2!A:C,3,0)</f>
        <v>灰</v>
      </c>
      <c r="G1017" s="17">
        <v>10327404</v>
      </c>
      <c r="H1017" s="17" t="s">
        <v>520</v>
      </c>
      <c r="I1017" s="18" t="s">
        <v>532</v>
      </c>
      <c r="J1017" s="15">
        <v>9044</v>
      </c>
      <c r="K1017" s="15">
        <v>213</v>
      </c>
      <c r="L1017" s="20">
        <f t="shared" si="149"/>
        <v>2.3551525873507298E-2</v>
      </c>
      <c r="M1017" s="12">
        <v>170</v>
      </c>
      <c r="N1017" s="12">
        <v>43</v>
      </c>
    </row>
    <row r="1018" spans="1:17">
      <c r="A1018" s="25">
        <v>46149</v>
      </c>
      <c r="B1018" s="29">
        <v>0.5444444444444444</v>
      </c>
      <c r="C1018" s="19">
        <v>46150</v>
      </c>
      <c r="D1018" s="24" t="str">
        <f t="shared" si="148"/>
        <v>U3L</v>
      </c>
      <c r="E1018" s="13" t="str">
        <f>VLOOKUP(D:D,工作表2!A:B,2,0)</f>
        <v>邦善</v>
      </c>
      <c r="F1018" s="13" t="str">
        <f>VLOOKUP(D:D,工作表2!A:C,3,0)</f>
        <v>藍</v>
      </c>
      <c r="G1018" s="17">
        <v>10327400</v>
      </c>
      <c r="H1018" s="17" t="s">
        <v>392</v>
      </c>
      <c r="I1018" s="18" t="s">
        <v>394</v>
      </c>
      <c r="J1018" s="15">
        <v>798</v>
      </c>
      <c r="K1018" s="15">
        <v>24</v>
      </c>
      <c r="L1018" s="20">
        <f t="shared" si="149"/>
        <v>3.007518796992481E-2</v>
      </c>
      <c r="M1018" s="12">
        <v>22</v>
      </c>
      <c r="N1018" s="12">
        <v>2</v>
      </c>
    </row>
    <row r="1019" spans="1:17">
      <c r="A1019" s="25">
        <v>46149</v>
      </c>
      <c r="B1019" s="29">
        <v>0.53055555555555556</v>
      </c>
      <c r="C1019" s="19">
        <v>46150</v>
      </c>
      <c r="D1019" s="24" t="str">
        <f t="shared" si="148"/>
        <v>VLS</v>
      </c>
      <c r="E1019" s="13" t="str">
        <f>VLOOKUP(D:D,工作表2!A:B,2,0)</f>
        <v>邦善</v>
      </c>
      <c r="F1019" s="13" t="str">
        <f>VLOOKUP(D:D,工作表2!A:C,3,0)</f>
        <v>銀</v>
      </c>
      <c r="G1019" s="17">
        <v>10327419</v>
      </c>
      <c r="H1019" s="17" t="s">
        <v>383</v>
      </c>
      <c r="I1019" s="18" t="s">
        <v>388</v>
      </c>
      <c r="J1019" s="15">
        <v>4256</v>
      </c>
      <c r="K1019" s="15">
        <v>118</v>
      </c>
      <c r="L1019" s="20">
        <f t="shared" si="149"/>
        <v>2.7725563909774435E-2</v>
      </c>
      <c r="M1019" s="12">
        <v>88</v>
      </c>
      <c r="N1019" s="12">
        <v>30</v>
      </c>
    </row>
    <row r="1020" spans="1:17">
      <c r="A1020" s="25">
        <v>46149</v>
      </c>
      <c r="B1020" s="29">
        <v>0.65833333333333333</v>
      </c>
      <c r="C1020" s="19">
        <v>46150</v>
      </c>
      <c r="D1020" s="24" t="str">
        <f t="shared" si="148"/>
        <v>XFW</v>
      </c>
      <c r="E1020" s="13" t="str">
        <f>VLOOKUP(D:D,工作表2!A:B,2,0)</f>
        <v>敦陽</v>
      </c>
      <c r="F1020" s="13" t="str">
        <f>VLOOKUP(D:D,工作表2!A:C,3,0)</f>
        <v>白</v>
      </c>
      <c r="G1020" s="17">
        <v>10326854</v>
      </c>
      <c r="H1020" s="17" t="s">
        <v>790</v>
      </c>
      <c r="I1020" s="18" t="s">
        <v>796</v>
      </c>
      <c r="J1020" s="15">
        <v>170</v>
      </c>
      <c r="K1020" s="15">
        <v>18</v>
      </c>
      <c r="L1020" s="20">
        <f t="shared" si="149"/>
        <v>0.10588235294117647</v>
      </c>
      <c r="M1020" s="12">
        <v>15</v>
      </c>
      <c r="N1020" s="12">
        <v>3</v>
      </c>
    </row>
    <row r="1021" spans="1:17">
      <c r="A1021" s="25">
        <v>46149</v>
      </c>
      <c r="B1021" s="29">
        <v>0.65763888888888888</v>
      </c>
      <c r="C1021" s="19">
        <v>46150</v>
      </c>
      <c r="D1021" s="24" t="str">
        <f t="shared" si="148"/>
        <v>XFW</v>
      </c>
      <c r="E1021" s="13" t="str">
        <f>VLOOKUP(D:D,工作表2!A:B,2,0)</f>
        <v>敦陽</v>
      </c>
      <c r="F1021" s="13" t="str">
        <f>VLOOKUP(D:D,工作表2!A:C,3,0)</f>
        <v>白</v>
      </c>
      <c r="G1021" s="17">
        <v>10326856</v>
      </c>
      <c r="H1021" s="17" t="s">
        <v>791</v>
      </c>
      <c r="I1021" s="18" t="s">
        <v>797</v>
      </c>
      <c r="J1021" s="15">
        <v>180</v>
      </c>
      <c r="K1021" s="15">
        <v>23</v>
      </c>
      <c r="L1021" s="20">
        <f t="shared" si="149"/>
        <v>0.12777777777777777</v>
      </c>
      <c r="M1021" s="12">
        <v>18</v>
      </c>
      <c r="N1021" s="12">
        <v>5</v>
      </c>
    </row>
    <row r="1022" spans="1:17">
      <c r="A1022" s="25">
        <v>46147</v>
      </c>
      <c r="B1022" s="29">
        <v>0.66666666666666663</v>
      </c>
      <c r="C1022" s="19">
        <v>46150</v>
      </c>
      <c r="D1022" s="24" t="str">
        <f t="shared" si="148"/>
        <v>WMS</v>
      </c>
      <c r="E1022" s="13" t="str">
        <f>VLOOKUP(D:D,工作表2!A:B,2,0)</f>
        <v>邦善</v>
      </c>
      <c r="F1022" s="13" t="str">
        <f>VLOOKUP(D:D,工作表2!A:C,3,0)</f>
        <v>銀</v>
      </c>
      <c r="G1022" s="17">
        <v>10327541</v>
      </c>
      <c r="H1022" s="17" t="s">
        <v>1056</v>
      </c>
      <c r="I1022" s="18" t="s">
        <v>1063</v>
      </c>
      <c r="J1022" s="15">
        <v>80</v>
      </c>
      <c r="K1022" s="15">
        <v>8</v>
      </c>
      <c r="L1022" s="20">
        <f t="shared" si="149"/>
        <v>0.1</v>
      </c>
      <c r="M1022" s="12">
        <v>6</v>
      </c>
      <c r="N1022" s="12">
        <v>2</v>
      </c>
      <c r="Q1022" s="23" t="str">
        <f>VLOOKUP(H:H,'[1]雷雕處遮蔽&amp;艾仕得8844'!$A:$C,3,0)</f>
        <v>0度頭蓋</v>
      </c>
    </row>
    <row r="1023" spans="1:17">
      <c r="A1023" s="25">
        <v>46147</v>
      </c>
      <c r="B1023" s="29">
        <v>0.65972222222222221</v>
      </c>
      <c r="C1023" s="19">
        <v>46150</v>
      </c>
      <c r="D1023" s="24" t="str">
        <f t="shared" si="148"/>
        <v>76S</v>
      </c>
      <c r="E1023" s="13" t="str">
        <f>VLOOKUP(D:D,工作表2!A:B,2,0)</f>
        <v>敦陽</v>
      </c>
      <c r="F1023" s="13" t="str">
        <f>VLOOKUP(D:D,工作表2!A:C,3,0)</f>
        <v>銀</v>
      </c>
      <c r="G1023" s="17">
        <v>10327549</v>
      </c>
      <c r="H1023" s="17" t="s">
        <v>1057</v>
      </c>
      <c r="I1023" s="18" t="s">
        <v>1064</v>
      </c>
      <c r="J1023" s="15">
        <v>40</v>
      </c>
      <c r="K1023" s="15">
        <v>12</v>
      </c>
      <c r="L1023" s="20">
        <f t="shared" si="149"/>
        <v>0.3</v>
      </c>
      <c r="M1023" s="12">
        <v>8</v>
      </c>
      <c r="N1023" s="12">
        <v>4</v>
      </c>
      <c r="Q1023" s="23" t="str">
        <f>VLOOKUP(H:H,'[1]雷雕處遮蔽&amp;艾仕得8844'!$A:$C,3,0)</f>
        <v>23度頭蓋</v>
      </c>
    </row>
    <row r="1024" spans="1:17">
      <c r="A1024" s="25">
        <v>46147</v>
      </c>
      <c r="B1024" s="29">
        <v>0.65972222222222221</v>
      </c>
      <c r="C1024" s="19">
        <v>46150</v>
      </c>
      <c r="D1024" s="24" t="str">
        <f t="shared" si="148"/>
        <v>78A</v>
      </c>
      <c r="E1024" s="13" t="str">
        <f>VLOOKUP(D:D,工作表2!A:B,2,0)</f>
        <v>敦陽</v>
      </c>
      <c r="F1024" s="13" t="str">
        <f>VLOOKUP(D:D,工作表2!A:C,3,0)</f>
        <v>灰</v>
      </c>
      <c r="G1024" s="17">
        <v>10327550</v>
      </c>
      <c r="H1024" s="17" t="s">
        <v>1097</v>
      </c>
      <c r="I1024" s="18" t="s">
        <v>1102</v>
      </c>
      <c r="J1024" s="15">
        <v>50</v>
      </c>
      <c r="K1024" s="15">
        <v>7</v>
      </c>
      <c r="L1024" s="20">
        <f t="shared" si="149"/>
        <v>0.14000000000000001</v>
      </c>
      <c r="M1024" s="12">
        <v>4</v>
      </c>
      <c r="N1024" s="12">
        <v>3</v>
      </c>
      <c r="Q1024" s="23" t="str">
        <f>VLOOKUP(H:H,'[1]雷雕處遮蔽&amp;艾仕得8844'!$A:$C,3,0)</f>
        <v>23度頭蓋</v>
      </c>
    </row>
    <row r="1025" spans="1:17">
      <c r="A1025" s="25">
        <v>46147</v>
      </c>
      <c r="B1025" s="29">
        <v>0.66041666666666665</v>
      </c>
      <c r="C1025" s="19">
        <v>46150</v>
      </c>
      <c r="D1025" s="24" t="str">
        <f t="shared" si="148"/>
        <v>HJA</v>
      </c>
      <c r="E1025" s="13" t="str">
        <f>VLOOKUP(D:D,工作表2!A:B,2,0)</f>
        <v>邦善</v>
      </c>
      <c r="F1025" s="13" t="str">
        <f>VLOOKUP(D:D,工作表2!A:C,3,0)</f>
        <v>灰</v>
      </c>
      <c r="G1025" s="17">
        <v>10328287</v>
      </c>
      <c r="H1025" s="17" t="s">
        <v>1096</v>
      </c>
      <c r="I1025" s="18" t="s">
        <v>1101</v>
      </c>
      <c r="J1025" s="15">
        <v>40</v>
      </c>
      <c r="K1025" s="15">
        <v>4</v>
      </c>
      <c r="L1025" s="20">
        <f t="shared" si="149"/>
        <v>0.1</v>
      </c>
      <c r="M1025" s="12">
        <v>2</v>
      </c>
      <c r="N1025" s="12">
        <v>2</v>
      </c>
      <c r="Q1025" s="23"/>
    </row>
    <row r="1026" spans="1:17">
      <c r="A1026" s="25">
        <v>46147</v>
      </c>
      <c r="B1026" s="29">
        <v>0.66111111111111109</v>
      </c>
      <c r="C1026" s="19">
        <v>46150</v>
      </c>
      <c r="D1026" s="24" t="str">
        <f t="shared" si="148"/>
        <v>HPP</v>
      </c>
      <c r="E1026" s="13" t="str">
        <f>VLOOKUP(D:D,工作表2!A:B,2,0)</f>
        <v>邦善</v>
      </c>
      <c r="F1026" s="13" t="str">
        <f>VLOOKUP(D:D,工作表2!A:C,3,0)</f>
        <v>紫</v>
      </c>
      <c r="G1026" s="17">
        <v>10328283</v>
      </c>
      <c r="H1026" s="17" t="s">
        <v>1095</v>
      </c>
      <c r="I1026" s="18" t="s">
        <v>1100</v>
      </c>
      <c r="J1026" s="15">
        <v>50</v>
      </c>
      <c r="K1026" s="15">
        <v>17</v>
      </c>
      <c r="L1026" s="20">
        <f t="shared" si="149"/>
        <v>0.34</v>
      </c>
      <c r="M1026" s="12">
        <v>10</v>
      </c>
      <c r="N1026" s="12">
        <v>7</v>
      </c>
      <c r="Q1026" s="23"/>
    </row>
    <row r="1027" spans="1:17">
      <c r="A1027" s="25">
        <v>46148</v>
      </c>
      <c r="B1027" s="29">
        <v>0.37777777777777777</v>
      </c>
      <c r="C1027" s="19">
        <v>46150</v>
      </c>
      <c r="D1027" s="24" t="str">
        <f t="shared" si="148"/>
        <v>N8B</v>
      </c>
      <c r="E1027" s="13" t="str">
        <f>VLOOKUP(D:D,工作表2!A:B,2,0)</f>
        <v>邦善</v>
      </c>
      <c r="F1027" s="13" t="str">
        <f>VLOOKUP(D:D,工作表2!A:C,3,0)</f>
        <v>霧面黑</v>
      </c>
      <c r="G1027" s="17">
        <v>10324813</v>
      </c>
      <c r="H1027" s="17" t="s">
        <v>870</v>
      </c>
      <c r="I1027" s="18" t="s">
        <v>876</v>
      </c>
      <c r="J1027" s="15">
        <v>240</v>
      </c>
      <c r="K1027" s="15">
        <v>18</v>
      </c>
      <c r="L1027" s="20">
        <f t="shared" si="149"/>
        <v>7.4999999999999997E-2</v>
      </c>
      <c r="M1027" s="12">
        <v>13</v>
      </c>
      <c r="N1027" s="12">
        <v>5</v>
      </c>
      <c r="Q1027" s="23" t="str">
        <f>VLOOKUP(H:H,'[1]雷雕處遮蔽&amp;艾仕得8844'!$A:$C,3,0)</f>
        <v>R</v>
      </c>
    </row>
    <row r="1028" spans="1:17">
      <c r="A1028" s="25">
        <v>46148</v>
      </c>
      <c r="B1028" s="29">
        <v>0.55347222222222225</v>
      </c>
      <c r="C1028" s="19">
        <v>46150</v>
      </c>
      <c r="D1028" s="24" t="str">
        <f t="shared" si="148"/>
        <v>NRR</v>
      </c>
      <c r="E1028" s="13" t="str">
        <f>VLOOKUP(D:D,工作表2!A:B,2,0)</f>
        <v>邦善</v>
      </c>
      <c r="F1028" s="13" t="str">
        <f>VLOOKUP(D:D,工作表2!A:C,3,0)</f>
        <v>紅</v>
      </c>
      <c r="G1028" s="17">
        <v>10324809</v>
      </c>
      <c r="H1028" s="17" t="s">
        <v>1098</v>
      </c>
      <c r="I1028" s="18" t="s">
        <v>1103</v>
      </c>
      <c r="J1028" s="15">
        <v>240</v>
      </c>
      <c r="K1028" s="15">
        <v>16</v>
      </c>
      <c r="L1028" s="20">
        <f t="shared" si="149"/>
        <v>6.6666666666666666E-2</v>
      </c>
      <c r="M1028" s="12">
        <v>14</v>
      </c>
      <c r="N1028" s="12">
        <v>2</v>
      </c>
      <c r="Q1028" s="23"/>
    </row>
    <row r="1029" spans="1:17">
      <c r="A1029" s="25">
        <v>46148</v>
      </c>
      <c r="B1029" s="29">
        <v>0.54583333333333328</v>
      </c>
      <c r="C1029" s="19">
        <v>46150</v>
      </c>
      <c r="D1029" s="24" t="str">
        <f t="shared" si="148"/>
        <v>SYL</v>
      </c>
      <c r="E1029" s="13" t="str">
        <f>VLOOKUP(D:D,工作表2!A:B,2,0)</f>
        <v>邦善</v>
      </c>
      <c r="F1029" s="13" t="str">
        <f>VLOOKUP(D:D,工作表2!A:C,3,0)</f>
        <v>藍</v>
      </c>
      <c r="G1029" s="17">
        <v>10324817</v>
      </c>
      <c r="H1029" s="17" t="s">
        <v>424</v>
      </c>
      <c r="I1029" s="18" t="s">
        <v>429</v>
      </c>
      <c r="J1029" s="15">
        <v>240</v>
      </c>
      <c r="K1029" s="15">
        <v>7</v>
      </c>
      <c r="L1029" s="20">
        <f t="shared" si="149"/>
        <v>2.9166666666666667E-2</v>
      </c>
      <c r="M1029" s="12">
        <v>5</v>
      </c>
      <c r="N1029" s="12">
        <v>2</v>
      </c>
      <c r="Q1029" s="23"/>
    </row>
    <row r="1030" spans="1:17">
      <c r="A1030" s="25">
        <v>46148</v>
      </c>
      <c r="B1030" s="29">
        <v>0.55555555555555558</v>
      </c>
      <c r="C1030" s="19">
        <v>46150</v>
      </c>
      <c r="D1030" s="24" t="str">
        <f t="shared" si="148"/>
        <v>NRR</v>
      </c>
      <c r="E1030" s="13" t="str">
        <f>VLOOKUP(D:D,工作表2!A:B,2,0)</f>
        <v>邦善</v>
      </c>
      <c r="F1030" s="13" t="str">
        <f>VLOOKUP(D:D,工作表2!A:C,3,0)</f>
        <v>紅</v>
      </c>
      <c r="G1030" s="17">
        <v>10324819</v>
      </c>
      <c r="H1030" s="17" t="s">
        <v>596</v>
      </c>
      <c r="I1030" s="18" t="s">
        <v>604</v>
      </c>
      <c r="J1030" s="15">
        <v>280</v>
      </c>
      <c r="K1030" s="15">
        <v>24</v>
      </c>
      <c r="L1030" s="20">
        <f t="shared" si="149"/>
        <v>8.5714285714285715E-2</v>
      </c>
      <c r="M1030" s="12">
        <v>18</v>
      </c>
      <c r="N1030" s="12">
        <v>6</v>
      </c>
      <c r="Q1030" s="23"/>
    </row>
    <row r="1031" spans="1:17">
      <c r="A1031" s="25">
        <v>46146</v>
      </c>
      <c r="B1031" s="29">
        <v>0.54861111111111105</v>
      </c>
      <c r="C1031" s="19">
        <v>46150</v>
      </c>
      <c r="D1031" s="24" t="str">
        <f t="shared" si="148"/>
        <v>N8B</v>
      </c>
      <c r="E1031" s="13" t="str">
        <f>VLOOKUP(D:D,工作表2!A:B,2,0)</f>
        <v>邦善</v>
      </c>
      <c r="F1031" s="13" t="str">
        <f>VLOOKUP(D:D,工作表2!A:C,3,0)</f>
        <v>霧面黑</v>
      </c>
      <c r="G1031" s="17">
        <v>10321952</v>
      </c>
      <c r="H1031" s="17" t="s">
        <v>607</v>
      </c>
      <c r="I1031" s="18" t="s">
        <v>609</v>
      </c>
      <c r="J1031" s="15">
        <v>1206</v>
      </c>
      <c r="K1031" s="15">
        <v>65</v>
      </c>
      <c r="L1031" s="20">
        <f t="shared" si="149"/>
        <v>5.3897180762852402E-2</v>
      </c>
      <c r="M1031" s="12">
        <v>50</v>
      </c>
      <c r="N1031" s="12">
        <v>15</v>
      </c>
      <c r="Q1031" s="23" t="str">
        <f>VLOOKUP(H:H,'[1]雷雕處遮蔽&amp;艾仕得8844'!$A:$C,3,0)</f>
        <v>0度頭蓋</v>
      </c>
    </row>
    <row r="1032" spans="1:17">
      <c r="A1032" s="25">
        <v>46146</v>
      </c>
      <c r="B1032" s="29">
        <v>0.5541666666666667</v>
      </c>
      <c r="C1032" s="19">
        <v>46150</v>
      </c>
      <c r="D1032" s="24" t="str">
        <f t="shared" si="148"/>
        <v>N8B</v>
      </c>
      <c r="E1032" s="13" t="str">
        <f>VLOOKUP(D:D,工作表2!A:B,2,0)</f>
        <v>邦善</v>
      </c>
      <c r="F1032" s="13" t="str">
        <f>VLOOKUP(D:D,工作表2!A:C,3,0)</f>
        <v>霧面黑</v>
      </c>
      <c r="G1032" s="17">
        <v>10321953</v>
      </c>
      <c r="H1032" s="17" t="s">
        <v>613</v>
      </c>
      <c r="I1032" s="18" t="s">
        <v>620</v>
      </c>
      <c r="J1032" s="15">
        <v>938</v>
      </c>
      <c r="K1032" s="15">
        <v>32</v>
      </c>
      <c r="L1032" s="20">
        <f t="shared" si="149"/>
        <v>3.4115138592750532E-2</v>
      </c>
      <c r="M1032" s="12">
        <v>28</v>
      </c>
      <c r="N1032" s="12">
        <v>4</v>
      </c>
      <c r="Q1032" s="23" t="str">
        <f>VLOOKUP(H:H,'[1]雷雕處遮蔽&amp;艾仕得8844'!$A:$C,3,0)</f>
        <v>0度頭蓋</v>
      </c>
    </row>
    <row r="1033" spans="1:17">
      <c r="A1033" s="25">
        <v>46147</v>
      </c>
      <c r="B1033" s="29">
        <v>0.62916666666666665</v>
      </c>
      <c r="C1033" s="19">
        <v>46150</v>
      </c>
      <c r="D1033" s="24" t="str">
        <f t="shared" si="148"/>
        <v>42W</v>
      </c>
      <c r="E1033" s="13" t="str">
        <f>VLOOKUP(D:D,工作表2!A:B,2,0)</f>
        <v>敦陽</v>
      </c>
      <c r="F1033" s="13" t="str">
        <f>VLOOKUP(D:D,工作表2!A:C,3,0)</f>
        <v>白</v>
      </c>
      <c r="G1033" s="17">
        <v>10325446</v>
      </c>
      <c r="H1033" s="17" t="s">
        <v>1099</v>
      </c>
      <c r="I1033" s="18" t="s">
        <v>1104</v>
      </c>
      <c r="J1033" s="15">
        <v>40</v>
      </c>
      <c r="K1033" s="15">
        <v>3</v>
      </c>
      <c r="L1033" s="20">
        <f t="shared" si="149"/>
        <v>7.4999999999999997E-2</v>
      </c>
      <c r="M1033" s="12">
        <v>3</v>
      </c>
      <c r="Q1033" s="23"/>
    </row>
    <row r="1034" spans="1:17">
      <c r="A1034" s="25">
        <v>46149</v>
      </c>
      <c r="B1034" s="29">
        <v>0.64166666666666672</v>
      </c>
      <c r="C1034" s="11">
        <v>46153</v>
      </c>
      <c r="D1034" s="24" t="str">
        <f t="shared" ref="D1034:D1043" si="150">RIGHT(I1034,3)</f>
        <v>HXR</v>
      </c>
      <c r="E1034" s="13" t="str">
        <f>VLOOKUP(D:D,工作表2!A:B,2,0)</f>
        <v>邦善</v>
      </c>
      <c r="F1034" s="13" t="str">
        <f>VLOOKUP(D:D,工作表2!A:C,3,0)</f>
        <v>紅</v>
      </c>
      <c r="G1034" s="17">
        <v>10328277</v>
      </c>
      <c r="H1034" s="17" t="s">
        <v>1105</v>
      </c>
      <c r="I1034" s="18" t="s">
        <v>1107</v>
      </c>
      <c r="J1034" s="15">
        <v>50</v>
      </c>
      <c r="K1034" s="15">
        <v>8</v>
      </c>
      <c r="L1034" s="20">
        <f t="shared" ref="L1034:L1043" si="151">K1034/J1034</f>
        <v>0.16</v>
      </c>
      <c r="M1034" s="12">
        <v>6</v>
      </c>
      <c r="N1034" s="12">
        <v>2</v>
      </c>
      <c r="Q1034" s="23"/>
    </row>
    <row r="1035" spans="1:17">
      <c r="A1035" s="25">
        <v>46149</v>
      </c>
      <c r="B1035" s="29">
        <v>0.40486111111111112</v>
      </c>
      <c r="C1035" s="11">
        <v>46153</v>
      </c>
      <c r="D1035" s="24" t="str">
        <f t="shared" si="150"/>
        <v>QRB</v>
      </c>
      <c r="E1035" s="13" t="str">
        <f>VLOOKUP(D:D,工作表2!A:B,2,0)</f>
        <v>邦善</v>
      </c>
      <c r="F1035" s="13" t="str">
        <f>VLOOKUP(D:D,工作表2!A:C,3,0)</f>
        <v>霧面黑</v>
      </c>
      <c r="G1035" s="17">
        <v>10327386</v>
      </c>
      <c r="H1035" s="17" t="s">
        <v>170</v>
      </c>
      <c r="I1035" s="18" t="s">
        <v>171</v>
      </c>
      <c r="J1035" s="15">
        <v>19418</v>
      </c>
      <c r="K1035" s="15">
        <v>548</v>
      </c>
      <c r="L1035" s="20">
        <f t="shared" si="151"/>
        <v>2.8221238026573281E-2</v>
      </c>
      <c r="M1035" s="12">
        <v>425</v>
      </c>
      <c r="N1035" s="12">
        <v>121</v>
      </c>
      <c r="O1035" s="15">
        <v>2</v>
      </c>
      <c r="Q1035" s="23"/>
    </row>
    <row r="1036" spans="1:17">
      <c r="A1036" s="25">
        <v>46149</v>
      </c>
      <c r="B1036" s="29">
        <v>0.55277777777777781</v>
      </c>
      <c r="C1036" s="19">
        <v>46153</v>
      </c>
      <c r="D1036" s="24" t="str">
        <f t="shared" si="150"/>
        <v>N8B</v>
      </c>
      <c r="E1036" s="13" t="str">
        <f>VLOOKUP(D:D,工作表2!A:B,2,0)</f>
        <v>邦善</v>
      </c>
      <c r="F1036" s="13" t="str">
        <f>VLOOKUP(D:D,工作表2!A:C,3,0)</f>
        <v>霧面黑</v>
      </c>
      <c r="G1036" s="17">
        <v>10324799</v>
      </c>
      <c r="H1036" s="17" t="s">
        <v>5</v>
      </c>
      <c r="I1036" s="18" t="s">
        <v>6</v>
      </c>
      <c r="J1036" s="15">
        <v>7448</v>
      </c>
      <c r="K1036" s="15">
        <v>88</v>
      </c>
      <c r="L1036" s="20">
        <f t="shared" si="151"/>
        <v>1.1815252416756176E-2</v>
      </c>
      <c r="M1036" s="12">
        <v>70</v>
      </c>
      <c r="N1036" s="12">
        <v>18</v>
      </c>
      <c r="Q1036" s="23"/>
    </row>
    <row r="1037" spans="1:17">
      <c r="A1037" s="25">
        <v>46148</v>
      </c>
      <c r="B1037" s="29">
        <v>0.59583333333333333</v>
      </c>
      <c r="C1037" s="19">
        <v>46153</v>
      </c>
      <c r="D1037" s="24" t="str">
        <f t="shared" si="150"/>
        <v>QHR</v>
      </c>
      <c r="E1037" s="13" t="str">
        <f>VLOOKUP(D:D,工作表2!A:B,2,0)</f>
        <v>邦善</v>
      </c>
      <c r="F1037" s="13" t="str">
        <f>VLOOKUP(D:D,工作表2!A:C,3,0)</f>
        <v>紅</v>
      </c>
      <c r="G1037" s="17">
        <v>10324810</v>
      </c>
      <c r="H1037" s="17" t="s">
        <v>823</v>
      </c>
      <c r="I1037" s="18" t="s">
        <v>832</v>
      </c>
      <c r="J1037" s="15">
        <v>820</v>
      </c>
      <c r="K1037" s="15">
        <v>43</v>
      </c>
      <c r="L1037" s="20">
        <f t="shared" si="151"/>
        <v>5.24390243902439E-2</v>
      </c>
      <c r="M1037" s="12">
        <v>40</v>
      </c>
      <c r="N1037" s="12">
        <v>3</v>
      </c>
      <c r="Q1037" s="23"/>
    </row>
    <row r="1038" spans="1:17">
      <c r="A1038" s="25">
        <v>46148</v>
      </c>
      <c r="B1038" s="29">
        <v>0.54027777777777775</v>
      </c>
      <c r="C1038" s="19">
        <v>46153</v>
      </c>
      <c r="D1038" s="24" t="str">
        <f t="shared" si="150"/>
        <v>UUS</v>
      </c>
      <c r="E1038" s="13" t="str">
        <f>VLOOKUP(D:D,工作表2!A:B,2,0)</f>
        <v>邦善</v>
      </c>
      <c r="F1038" s="13" t="str">
        <f>VLOOKUP(D:D,工作表2!A:C,3,0)</f>
        <v>銀</v>
      </c>
      <c r="G1038" s="17">
        <v>10324805</v>
      </c>
      <c r="H1038" s="17" t="s">
        <v>540</v>
      </c>
      <c r="I1038" s="18" t="s">
        <v>551</v>
      </c>
      <c r="J1038" s="15">
        <v>1330</v>
      </c>
      <c r="K1038" s="15">
        <v>44</v>
      </c>
      <c r="L1038" s="20">
        <f t="shared" si="151"/>
        <v>3.308270676691729E-2</v>
      </c>
      <c r="M1038" s="12">
        <v>26</v>
      </c>
      <c r="N1038" s="12">
        <v>18</v>
      </c>
      <c r="Q1038" s="23"/>
    </row>
    <row r="1039" spans="1:17">
      <c r="A1039" s="25">
        <v>46146</v>
      </c>
      <c r="B1039" s="29">
        <v>0.52500000000000002</v>
      </c>
      <c r="C1039" s="19">
        <v>46153</v>
      </c>
      <c r="D1039" s="24" t="str">
        <f t="shared" si="150"/>
        <v>N8B</v>
      </c>
      <c r="E1039" s="13" t="str">
        <f>VLOOKUP(D:D,工作表2!A:B,2,0)</f>
        <v>邦善</v>
      </c>
      <c r="F1039" s="13" t="str">
        <f>VLOOKUP(D:D,工作表2!A:C,3,0)</f>
        <v>霧面黑</v>
      </c>
      <c r="G1039" s="17">
        <v>10328261</v>
      </c>
      <c r="H1039" s="17" t="s">
        <v>893</v>
      </c>
      <c r="I1039" s="18" t="s">
        <v>900</v>
      </c>
      <c r="J1039" s="15">
        <v>320</v>
      </c>
      <c r="K1039" s="15">
        <v>32</v>
      </c>
      <c r="L1039" s="20">
        <f t="shared" si="151"/>
        <v>0.1</v>
      </c>
      <c r="M1039" s="12">
        <v>24</v>
      </c>
      <c r="N1039" s="12">
        <v>8</v>
      </c>
      <c r="Q1039" s="23" t="str">
        <f>VLOOKUP(H:H,'[1]雷雕處遮蔽&amp;艾仕得8844'!$A:$C,3,0)</f>
        <v>L</v>
      </c>
    </row>
    <row r="1040" spans="1:17">
      <c r="A1040" s="25">
        <v>46147</v>
      </c>
      <c r="B1040" s="29">
        <v>0.47638888888888892</v>
      </c>
      <c r="C1040" s="19">
        <v>46153</v>
      </c>
      <c r="D1040" s="24" t="str">
        <f t="shared" si="150"/>
        <v>N8B</v>
      </c>
      <c r="E1040" s="13" t="str">
        <f>VLOOKUP(D:D,工作表2!A:B,2,0)</f>
        <v>邦善</v>
      </c>
      <c r="F1040" s="13" t="str">
        <f>VLOOKUP(D:D,工作表2!A:C,3,0)</f>
        <v>霧面黑</v>
      </c>
      <c r="G1040" s="17">
        <v>10328393</v>
      </c>
      <c r="H1040" s="17" t="s">
        <v>894</v>
      </c>
      <c r="I1040" s="18" t="s">
        <v>901</v>
      </c>
      <c r="J1040" s="15">
        <v>320</v>
      </c>
      <c r="K1040" s="15">
        <v>11</v>
      </c>
      <c r="L1040" s="20">
        <f t="shared" si="151"/>
        <v>3.4375000000000003E-2</v>
      </c>
      <c r="M1040" s="12">
        <v>9</v>
      </c>
      <c r="N1040" s="12">
        <v>2</v>
      </c>
      <c r="Q1040" s="23" t="str">
        <f>VLOOKUP(H:H,'[1]雷雕處遮蔽&amp;艾仕得8844'!$A:$C,3,0)</f>
        <v>R</v>
      </c>
    </row>
    <row r="1041" spans="1:17">
      <c r="A1041" s="25">
        <v>46148</v>
      </c>
      <c r="B1041" s="29">
        <v>0.56041666666666667</v>
      </c>
      <c r="C1041" s="19">
        <v>46153</v>
      </c>
      <c r="D1041" s="24" t="str">
        <f t="shared" si="150"/>
        <v>RLR</v>
      </c>
      <c r="E1041" s="13" t="str">
        <f>VLOOKUP(D:D,工作表2!A:B,2,0)</f>
        <v>邦善</v>
      </c>
      <c r="F1041" s="13" t="str">
        <f>VLOOKUP(D:D,工作表2!A:C,3,0)</f>
        <v>紅</v>
      </c>
      <c r="G1041" s="17">
        <v>10328220</v>
      </c>
      <c r="H1041" s="17" t="s">
        <v>841</v>
      </c>
      <c r="I1041" s="18" t="s">
        <v>854</v>
      </c>
      <c r="J1041" s="15">
        <v>280</v>
      </c>
      <c r="K1041" s="15">
        <v>24</v>
      </c>
      <c r="L1041" s="20">
        <f t="shared" si="151"/>
        <v>8.5714285714285715E-2</v>
      </c>
      <c r="M1041" s="12">
        <v>20</v>
      </c>
      <c r="N1041" s="12">
        <v>4</v>
      </c>
      <c r="Q1041" s="23" t="str">
        <f>VLOOKUP(H:H,'[1]雷雕處遮蔽&amp;艾仕得8844'!$A:$C,3,0)</f>
        <v>R</v>
      </c>
    </row>
    <row r="1042" spans="1:17">
      <c r="A1042" s="25">
        <v>46148</v>
      </c>
      <c r="B1042" s="29">
        <v>0.56458333333333333</v>
      </c>
      <c r="C1042" s="19">
        <v>46153</v>
      </c>
      <c r="D1042" s="24" t="str">
        <f t="shared" si="150"/>
        <v>RLR</v>
      </c>
      <c r="E1042" s="13" t="str">
        <f>VLOOKUP(D:D,工作表2!A:B,2,0)</f>
        <v>邦善</v>
      </c>
      <c r="F1042" s="13" t="str">
        <f>VLOOKUP(D:D,工作表2!A:C,3,0)</f>
        <v>紅</v>
      </c>
      <c r="G1042" s="17">
        <v>10328221</v>
      </c>
      <c r="H1042" s="17" t="s">
        <v>1106</v>
      </c>
      <c r="I1042" s="18" t="s">
        <v>1108</v>
      </c>
      <c r="J1042" s="15">
        <v>240</v>
      </c>
      <c r="K1042" s="15">
        <v>23</v>
      </c>
      <c r="L1042" s="20">
        <f t="shared" si="151"/>
        <v>9.583333333333334E-2</v>
      </c>
      <c r="M1042" s="12">
        <v>16</v>
      </c>
      <c r="N1042" s="12">
        <v>7</v>
      </c>
      <c r="Q1042" s="23" t="str">
        <f>VLOOKUP(H:H,'[1]雷雕處遮蔽&amp;艾仕得8844'!$A:$C,3,0)</f>
        <v>L</v>
      </c>
    </row>
    <row r="1043" spans="1:17">
      <c r="A1043" s="25">
        <v>46147</v>
      </c>
      <c r="B1043" s="29">
        <v>0.60902777777777783</v>
      </c>
      <c r="C1043" s="19">
        <v>46153</v>
      </c>
      <c r="D1043" s="24" t="str">
        <f t="shared" si="150"/>
        <v>Q9B</v>
      </c>
      <c r="E1043" s="13" t="str">
        <f>VLOOKUP(D:D,工作表2!A:B,2,0)</f>
        <v>邦善</v>
      </c>
      <c r="F1043" s="13" t="str">
        <f>VLOOKUP(D:D,工作表2!A:C,3,0)</f>
        <v>黑</v>
      </c>
      <c r="G1043" s="17">
        <v>10324808</v>
      </c>
      <c r="H1043" s="17" t="s">
        <v>1042</v>
      </c>
      <c r="I1043" s="18" t="s">
        <v>1047</v>
      </c>
      <c r="J1043" s="15">
        <v>440</v>
      </c>
      <c r="K1043" s="15">
        <v>36</v>
      </c>
      <c r="L1043" s="20">
        <f t="shared" si="151"/>
        <v>8.1818181818181818E-2</v>
      </c>
      <c r="M1043" s="12">
        <v>19</v>
      </c>
      <c r="N1043" s="12">
        <v>17</v>
      </c>
      <c r="Q1043" s="23" t="str">
        <f>VLOOKUP(H:H,'[1]雷雕處遮蔽&amp;艾仕得8844'!$A:$C,3,0)</f>
        <v>R</v>
      </c>
    </row>
    <row r="1044" spans="1:17">
      <c r="A1044" s="25">
        <v>46150</v>
      </c>
      <c r="B1044" s="29">
        <v>0.58611111111111114</v>
      </c>
      <c r="C1044" s="11">
        <v>46154</v>
      </c>
      <c r="D1044" s="24" t="str">
        <f t="shared" ref="D1044:D1060" si="152">RIGHT(I1044,3)</f>
        <v>LWB</v>
      </c>
      <c r="E1044" s="13" t="str">
        <f>VLOOKUP(D:D,工作表2!A:B,2,0)</f>
        <v>建榮</v>
      </c>
      <c r="F1044" s="13" t="str">
        <f>VLOOKUP(D:D,工作表2!A:C,3,0)</f>
        <v>霧面黑</v>
      </c>
      <c r="G1044" s="17">
        <v>10327548</v>
      </c>
      <c r="H1044" s="17" t="s">
        <v>766</v>
      </c>
      <c r="I1044" s="18" t="s">
        <v>769</v>
      </c>
      <c r="J1044" s="15">
        <v>90</v>
      </c>
      <c r="K1044" s="15">
        <v>1</v>
      </c>
      <c r="L1044" s="20">
        <f t="shared" ref="L1044:L1060" si="153">K1044/J1044</f>
        <v>1.1111111111111112E-2</v>
      </c>
      <c r="M1044" s="12">
        <v>1</v>
      </c>
      <c r="Q1044" s="23"/>
    </row>
    <row r="1045" spans="1:17">
      <c r="A1045" s="25">
        <v>46150</v>
      </c>
      <c r="B1045" s="29">
        <v>0.57986111111111105</v>
      </c>
      <c r="C1045" s="11">
        <v>46154</v>
      </c>
      <c r="D1045" s="24" t="str">
        <f t="shared" si="152"/>
        <v>UML</v>
      </c>
      <c r="E1045" s="13" t="str">
        <f>VLOOKUP(D:D,工作表2!A:B,2,0)</f>
        <v>邦善</v>
      </c>
      <c r="F1045" s="13" t="str">
        <f>VLOOKUP(D:D,工作表2!A:C,3,0)</f>
        <v>藍</v>
      </c>
      <c r="G1045" s="17">
        <v>10327637</v>
      </c>
      <c r="H1045" s="17" t="s">
        <v>1111</v>
      </c>
      <c r="I1045" s="18" t="s">
        <v>1114</v>
      </c>
      <c r="J1045" s="15">
        <v>60</v>
      </c>
      <c r="K1045" s="15">
        <v>17</v>
      </c>
      <c r="L1045" s="20">
        <f t="shared" si="153"/>
        <v>0.28333333333333333</v>
      </c>
      <c r="M1045" s="12">
        <v>15</v>
      </c>
      <c r="N1045" s="12">
        <v>2</v>
      </c>
      <c r="Q1045" s="23"/>
    </row>
    <row r="1046" spans="1:17">
      <c r="A1046" s="25">
        <v>46147</v>
      </c>
      <c r="B1046" s="29">
        <v>0.61805555555555558</v>
      </c>
      <c r="C1046" s="19">
        <v>46154</v>
      </c>
      <c r="D1046" s="24" t="str">
        <f t="shared" si="152"/>
        <v>42W</v>
      </c>
      <c r="E1046" s="13" t="str">
        <f>VLOOKUP(D:D,工作表2!A:B,2,0)</f>
        <v>敦陽</v>
      </c>
      <c r="F1046" s="13" t="str">
        <f>VLOOKUP(D:D,工作表2!A:C,3,0)</f>
        <v>白</v>
      </c>
      <c r="G1046" s="17">
        <v>10328239</v>
      </c>
      <c r="H1046" s="17" t="s">
        <v>756</v>
      </c>
      <c r="I1046" s="18" t="s">
        <v>761</v>
      </c>
      <c r="J1046" s="15">
        <v>1862</v>
      </c>
      <c r="K1046" s="15">
        <v>62</v>
      </c>
      <c r="L1046" s="20">
        <f t="shared" si="153"/>
        <v>3.3297529538131039E-2</v>
      </c>
      <c r="M1046" s="12">
        <v>40</v>
      </c>
      <c r="N1046" s="12">
        <v>22</v>
      </c>
      <c r="Q1046" s="23"/>
    </row>
    <row r="1047" spans="1:17">
      <c r="A1047" s="25">
        <v>46147</v>
      </c>
      <c r="B1047" s="29">
        <v>0.61527777777777781</v>
      </c>
      <c r="C1047" s="19">
        <v>46154</v>
      </c>
      <c r="D1047" s="24" t="str">
        <f t="shared" si="152"/>
        <v>9DB</v>
      </c>
      <c r="E1047" s="13" t="str">
        <f>VLOOKUP(D:D,工作表2!A:B,2,0)</f>
        <v>敦陽</v>
      </c>
      <c r="F1047" s="13" t="str">
        <f>VLOOKUP(D:D,工作表2!A:C,3,0)</f>
        <v>黑</v>
      </c>
      <c r="G1047" s="17">
        <v>10328238</v>
      </c>
      <c r="H1047" s="17" t="s">
        <v>986</v>
      </c>
      <c r="I1047" s="18" t="s">
        <v>989</v>
      </c>
      <c r="J1047" s="15">
        <v>798</v>
      </c>
      <c r="K1047" s="15">
        <v>70</v>
      </c>
      <c r="L1047" s="20">
        <f t="shared" si="153"/>
        <v>8.771929824561403E-2</v>
      </c>
      <c r="M1047" s="12">
        <v>65</v>
      </c>
      <c r="N1047" s="12">
        <v>5</v>
      </c>
      <c r="P1047" s="32" t="s">
        <v>1117</v>
      </c>
      <c r="Q1047" s="23"/>
    </row>
    <row r="1048" spans="1:17">
      <c r="A1048" s="25">
        <v>46142</v>
      </c>
      <c r="B1048" s="29">
        <v>0.53541666666666665</v>
      </c>
      <c r="C1048" s="19">
        <v>46154</v>
      </c>
      <c r="D1048" s="24" t="str">
        <f t="shared" si="152"/>
        <v>RRA</v>
      </c>
      <c r="E1048" s="13" t="str">
        <f>VLOOKUP(D:D,工作表2!A:B,2,0)</f>
        <v>邦善</v>
      </c>
      <c r="F1048" s="13" t="str">
        <f>VLOOKUP(D:D,工作表2!A:C,3,0)</f>
        <v>灰</v>
      </c>
      <c r="G1048" s="17">
        <v>10324806</v>
      </c>
      <c r="H1048" s="17" t="s">
        <v>544</v>
      </c>
      <c r="I1048" s="18" t="s">
        <v>555</v>
      </c>
      <c r="J1048" s="15">
        <v>798</v>
      </c>
      <c r="K1048" s="15">
        <v>34</v>
      </c>
      <c r="L1048" s="20">
        <f t="shared" si="153"/>
        <v>4.2606516290726815E-2</v>
      </c>
      <c r="M1048" s="12">
        <v>28</v>
      </c>
      <c r="N1048" s="12">
        <v>6</v>
      </c>
      <c r="P1048" s="32" t="s">
        <v>1117</v>
      </c>
      <c r="Q1048" s="23"/>
    </row>
    <row r="1049" spans="1:17">
      <c r="A1049" s="25">
        <v>46146</v>
      </c>
      <c r="B1049" s="29">
        <v>0.59583333333333333</v>
      </c>
      <c r="C1049" s="19">
        <v>46154</v>
      </c>
      <c r="D1049" s="24" t="str">
        <f t="shared" si="152"/>
        <v>SYL</v>
      </c>
      <c r="E1049" s="13" t="str">
        <f>VLOOKUP(D:D,工作表2!A:B,2,0)</f>
        <v>邦善</v>
      </c>
      <c r="F1049" s="13" t="str">
        <f>VLOOKUP(D:D,工作表2!A:C,3,0)</f>
        <v>藍</v>
      </c>
      <c r="G1049" s="17">
        <v>10324811</v>
      </c>
      <c r="H1049" s="17" t="s">
        <v>384</v>
      </c>
      <c r="I1049" s="18" t="s">
        <v>389</v>
      </c>
      <c r="J1049" s="15">
        <v>532</v>
      </c>
      <c r="K1049" s="15">
        <v>26</v>
      </c>
      <c r="L1049" s="20">
        <f t="shared" si="153"/>
        <v>4.8872180451127817E-2</v>
      </c>
      <c r="M1049" s="12">
        <v>20</v>
      </c>
      <c r="N1049" s="12">
        <v>6</v>
      </c>
      <c r="P1049" s="32" t="s">
        <v>1117</v>
      </c>
      <c r="Q1049" s="23"/>
    </row>
    <row r="1050" spans="1:17">
      <c r="A1050" s="25">
        <v>46153</v>
      </c>
      <c r="B1050" s="29">
        <v>0.38541666666666669</v>
      </c>
      <c r="C1050" s="19">
        <v>46154</v>
      </c>
      <c r="D1050" s="24" t="str">
        <f t="shared" si="152"/>
        <v>QRB</v>
      </c>
      <c r="E1050" s="13" t="str">
        <f>VLOOKUP(D:D,工作表2!A:B,2,0)</f>
        <v>邦善</v>
      </c>
      <c r="F1050" s="13" t="str">
        <f>VLOOKUP(D:D,工作表2!A:C,3,0)</f>
        <v>霧面黑</v>
      </c>
      <c r="G1050" s="17">
        <v>10327388</v>
      </c>
      <c r="H1050" s="17" t="s">
        <v>170</v>
      </c>
      <c r="I1050" s="18" t="s">
        <v>171</v>
      </c>
      <c r="J1050" s="15">
        <v>25004</v>
      </c>
      <c r="K1050" s="15">
        <v>866</v>
      </c>
      <c r="L1050" s="20">
        <f t="shared" si="153"/>
        <v>3.4634458486642136E-2</v>
      </c>
      <c r="M1050" s="12">
        <v>756</v>
      </c>
      <c r="N1050" s="12">
        <v>109</v>
      </c>
      <c r="O1050" s="15">
        <v>1</v>
      </c>
      <c r="Q1050" s="23"/>
    </row>
    <row r="1051" spans="1:17">
      <c r="A1051" s="25">
        <v>46150</v>
      </c>
      <c r="B1051" s="29">
        <v>0.40972222222222227</v>
      </c>
      <c r="C1051" s="19">
        <v>46154</v>
      </c>
      <c r="D1051" s="24" t="str">
        <f t="shared" si="152"/>
        <v>QRB</v>
      </c>
      <c r="E1051" s="13" t="str">
        <f>VLOOKUP(D:D,工作表2!A:B,2,0)</f>
        <v>邦善</v>
      </c>
      <c r="F1051" s="13" t="str">
        <f>VLOOKUP(D:D,工作表2!A:C,3,0)</f>
        <v>霧面黑</v>
      </c>
      <c r="G1051" s="17">
        <v>10327387</v>
      </c>
      <c r="H1051" s="17" t="s">
        <v>170</v>
      </c>
      <c r="I1051" s="18" t="s">
        <v>171</v>
      </c>
      <c r="J1051" s="15">
        <v>25270</v>
      </c>
      <c r="K1051" s="15">
        <v>514</v>
      </c>
      <c r="L1051" s="20">
        <f t="shared" si="153"/>
        <v>2.034032449544915E-2</v>
      </c>
      <c r="M1051" s="12">
        <v>441</v>
      </c>
      <c r="N1051" s="12">
        <v>67</v>
      </c>
      <c r="O1051" s="15">
        <v>6</v>
      </c>
      <c r="Q1051" s="23"/>
    </row>
    <row r="1052" spans="1:17">
      <c r="A1052" s="25">
        <v>46150</v>
      </c>
      <c r="B1052" s="29">
        <v>0.54722222222222217</v>
      </c>
      <c r="C1052" s="19">
        <v>46154</v>
      </c>
      <c r="D1052" s="24" t="str">
        <f t="shared" si="152"/>
        <v>XJL</v>
      </c>
      <c r="E1052" s="13" t="str">
        <f>VLOOKUP(D:D,工作表2!A:B,2,0)</f>
        <v>邦善</v>
      </c>
      <c r="F1052" s="13" t="str">
        <f>VLOOKUP(D:D,工作表2!A:C,3,0)</f>
        <v>藍</v>
      </c>
      <c r="G1052" s="17">
        <v>10327409</v>
      </c>
      <c r="H1052" s="17" t="s">
        <v>615</v>
      </c>
      <c r="I1052" s="18" t="s">
        <v>624</v>
      </c>
      <c r="J1052" s="15">
        <v>532</v>
      </c>
      <c r="K1052" s="15">
        <v>52</v>
      </c>
      <c r="L1052" s="20">
        <f t="shared" si="153"/>
        <v>9.7744360902255634E-2</v>
      </c>
      <c r="M1052" s="12">
        <v>40</v>
      </c>
      <c r="N1052" s="12">
        <v>12</v>
      </c>
      <c r="Q1052" s="23"/>
    </row>
    <row r="1053" spans="1:17">
      <c r="A1053" s="25">
        <v>46149</v>
      </c>
      <c r="B1053" s="29">
        <v>0.65833333333333333</v>
      </c>
      <c r="C1053" s="19">
        <v>46154</v>
      </c>
      <c r="D1053" s="24" t="str">
        <f t="shared" si="152"/>
        <v>XFW</v>
      </c>
      <c r="E1053" s="13" t="str">
        <f>VLOOKUP(D:D,工作表2!A:B,2,0)</f>
        <v>敦陽</v>
      </c>
      <c r="F1053" s="13" t="str">
        <f>VLOOKUP(D:D,工作表2!A:C,3,0)</f>
        <v>白</v>
      </c>
      <c r="G1053" s="17">
        <v>10331011</v>
      </c>
      <c r="H1053" s="17" t="s">
        <v>790</v>
      </c>
      <c r="I1053" s="18" t="s">
        <v>796</v>
      </c>
      <c r="J1053" s="15">
        <v>30</v>
      </c>
      <c r="K1053" s="15">
        <v>3</v>
      </c>
      <c r="L1053" s="20">
        <f t="shared" si="153"/>
        <v>0.1</v>
      </c>
      <c r="M1053" s="12">
        <v>3</v>
      </c>
      <c r="Q1053" s="23"/>
    </row>
    <row r="1054" spans="1:17">
      <c r="A1054" s="25">
        <v>46150</v>
      </c>
      <c r="B1054" s="29">
        <v>0.58333333333333337</v>
      </c>
      <c r="C1054" s="19">
        <v>46154</v>
      </c>
      <c r="D1054" s="24" t="str">
        <f t="shared" si="152"/>
        <v>75W</v>
      </c>
      <c r="E1054" s="13" t="str">
        <f>VLOOKUP(D:D,工作表2!A:B,2,0)</f>
        <v>敦陽</v>
      </c>
      <c r="F1054" s="13" t="str">
        <f>VLOOKUP(D:D,工作表2!A:C,3,0)</f>
        <v>白</v>
      </c>
      <c r="G1054" s="17">
        <v>10327532</v>
      </c>
      <c r="H1054" s="17" t="s">
        <v>680</v>
      </c>
      <c r="I1054" s="18" t="s">
        <v>695</v>
      </c>
      <c r="J1054" s="15">
        <v>320</v>
      </c>
      <c r="K1054" s="15">
        <v>27</v>
      </c>
      <c r="L1054" s="20">
        <f t="shared" si="153"/>
        <v>8.4375000000000006E-2</v>
      </c>
      <c r="M1054" s="12">
        <v>20</v>
      </c>
      <c r="N1054" s="12">
        <v>7</v>
      </c>
      <c r="Q1054" s="23"/>
    </row>
    <row r="1055" spans="1:17">
      <c r="A1055" s="25">
        <v>46147</v>
      </c>
      <c r="B1055" s="29">
        <v>0.60347222222222219</v>
      </c>
      <c r="C1055" s="19">
        <v>46154</v>
      </c>
      <c r="D1055" s="24" t="str">
        <f t="shared" si="152"/>
        <v>Q9B</v>
      </c>
      <c r="E1055" s="13" t="str">
        <f>VLOOKUP(D:D,工作表2!A:B,2,0)</f>
        <v>邦善</v>
      </c>
      <c r="F1055" s="13" t="str">
        <f>VLOOKUP(D:D,工作表2!A:C,3,0)</f>
        <v>黑</v>
      </c>
      <c r="G1055" s="17">
        <v>10324807</v>
      </c>
      <c r="H1055" s="17" t="s">
        <v>1044</v>
      </c>
      <c r="I1055" s="18" t="s">
        <v>1049</v>
      </c>
      <c r="J1055" s="15">
        <v>470</v>
      </c>
      <c r="K1055" s="15">
        <v>40</v>
      </c>
      <c r="L1055" s="20">
        <f t="shared" si="153"/>
        <v>8.5106382978723402E-2</v>
      </c>
      <c r="M1055" s="12">
        <v>30</v>
      </c>
      <c r="N1055" s="12">
        <v>10</v>
      </c>
      <c r="Q1055" s="23" t="str">
        <f>VLOOKUP(H:H,'[1]雷雕處遮蔽&amp;艾仕得8844'!$A:$C,3,0)</f>
        <v>L</v>
      </c>
    </row>
    <row r="1056" spans="1:17">
      <c r="A1056" s="25">
        <v>46148</v>
      </c>
      <c r="B1056" s="29">
        <v>0.38611111111111113</v>
      </c>
      <c r="C1056" s="19">
        <v>46154</v>
      </c>
      <c r="D1056" s="24" t="str">
        <f t="shared" si="152"/>
        <v>N8B</v>
      </c>
      <c r="E1056" s="13" t="str">
        <f>VLOOKUP(D:D,工作表2!A:B,2,0)</f>
        <v>邦善</v>
      </c>
      <c r="F1056" s="13" t="str">
        <f>VLOOKUP(D:D,工作表2!A:C,3,0)</f>
        <v>霧面黑</v>
      </c>
      <c r="G1056" s="17">
        <v>10328214</v>
      </c>
      <c r="H1056" s="17" t="s">
        <v>1110</v>
      </c>
      <c r="I1056" s="18" t="s">
        <v>1113</v>
      </c>
      <c r="J1056" s="15">
        <v>280</v>
      </c>
      <c r="K1056" s="15">
        <v>21</v>
      </c>
      <c r="L1056" s="20">
        <f t="shared" si="153"/>
        <v>7.4999999999999997E-2</v>
      </c>
      <c r="M1056" s="12">
        <v>18</v>
      </c>
      <c r="N1056" s="12">
        <v>3</v>
      </c>
      <c r="Q1056" s="23" t="str">
        <f>VLOOKUP(H:H,'[1]雷雕處遮蔽&amp;艾仕得8844'!$A:$C,3,0)</f>
        <v>L</v>
      </c>
    </row>
    <row r="1057" spans="1:17">
      <c r="A1057" s="25">
        <v>46147</v>
      </c>
      <c r="B1057" s="29">
        <v>0.59513888888888888</v>
      </c>
      <c r="C1057" s="19">
        <v>46154</v>
      </c>
      <c r="D1057" s="24" t="str">
        <f t="shared" si="152"/>
        <v>Q9B</v>
      </c>
      <c r="E1057" s="13" t="str">
        <f>VLOOKUP(D:D,工作表2!A:B,2,0)</f>
        <v>邦善</v>
      </c>
      <c r="F1057" s="13" t="str">
        <f>VLOOKUP(D:D,工作表2!A:C,3,0)</f>
        <v>黑</v>
      </c>
      <c r="G1057" s="17">
        <v>10324824</v>
      </c>
      <c r="H1057" s="17" t="s">
        <v>967</v>
      </c>
      <c r="I1057" s="18" t="s">
        <v>972</v>
      </c>
      <c r="J1057" s="15">
        <v>1000</v>
      </c>
      <c r="K1057" s="15">
        <v>225</v>
      </c>
      <c r="L1057" s="20">
        <f t="shared" si="153"/>
        <v>0.22500000000000001</v>
      </c>
      <c r="M1057" s="12">
        <v>170</v>
      </c>
      <c r="N1057" s="12">
        <v>55</v>
      </c>
      <c r="P1057" s="32" t="s">
        <v>1118</v>
      </c>
      <c r="Q1057" s="23" t="str">
        <f>VLOOKUP(H:H,'[1]雷雕處遮蔽&amp;艾仕得8844'!$A:$C,3,0)</f>
        <v>R</v>
      </c>
    </row>
    <row r="1058" spans="1:17">
      <c r="A1058" s="25">
        <v>46149</v>
      </c>
      <c r="B1058" s="29">
        <v>0.59583333333333333</v>
      </c>
      <c r="C1058" s="19">
        <v>46154</v>
      </c>
      <c r="D1058" s="24" t="str">
        <f t="shared" si="152"/>
        <v>N8B</v>
      </c>
      <c r="E1058" s="13" t="str">
        <f>VLOOKUP(D:D,工作表2!A:B,2,0)</f>
        <v>邦善</v>
      </c>
      <c r="F1058" s="13" t="str">
        <f>VLOOKUP(D:D,工作表2!A:C,3,0)</f>
        <v>霧面黑</v>
      </c>
      <c r="G1058" s="17">
        <v>10324803</v>
      </c>
      <c r="H1058" s="17" t="s">
        <v>613</v>
      </c>
      <c r="I1058" s="18" t="s">
        <v>620</v>
      </c>
      <c r="J1058" s="15">
        <v>1608</v>
      </c>
      <c r="K1058" s="15">
        <v>80</v>
      </c>
      <c r="L1058" s="20">
        <f t="shared" si="153"/>
        <v>4.975124378109453E-2</v>
      </c>
      <c r="M1058" s="12">
        <v>70</v>
      </c>
      <c r="N1058" s="12">
        <v>10</v>
      </c>
      <c r="Q1058" s="23" t="str">
        <f>VLOOKUP(H:H,'[1]雷雕處遮蔽&amp;艾仕得8844'!$A:$C,3,0)</f>
        <v>0度頭蓋</v>
      </c>
    </row>
    <row r="1059" spans="1:17">
      <c r="A1059" s="25">
        <v>46153</v>
      </c>
      <c r="B1059" s="29">
        <v>0.5805555555555556</v>
      </c>
      <c r="C1059" s="19">
        <v>46154</v>
      </c>
      <c r="D1059" s="24" t="str">
        <f t="shared" si="152"/>
        <v>62R</v>
      </c>
      <c r="E1059" s="13" t="str">
        <f>VLOOKUP(D:D,工作表2!A:B,2,0)</f>
        <v>四通行</v>
      </c>
      <c r="F1059" s="13" t="str">
        <f>VLOOKUP(D:D,工作表2!A:C,3,0)</f>
        <v>紅</v>
      </c>
      <c r="G1059" s="17">
        <v>10325444</v>
      </c>
      <c r="H1059" s="17" t="s">
        <v>683</v>
      </c>
      <c r="I1059" s="18" t="s">
        <v>698</v>
      </c>
      <c r="J1059" s="15">
        <v>40</v>
      </c>
      <c r="K1059" s="15">
        <v>11</v>
      </c>
      <c r="L1059" s="20">
        <f t="shared" si="153"/>
        <v>0.27500000000000002</v>
      </c>
      <c r="M1059" s="12">
        <v>6</v>
      </c>
      <c r="N1059" s="12">
        <v>5</v>
      </c>
      <c r="Q1059" s="23"/>
    </row>
    <row r="1060" spans="1:17">
      <c r="A1060" s="25">
        <v>46153</v>
      </c>
      <c r="B1060" s="29">
        <v>0.58124999999999993</v>
      </c>
      <c r="C1060" s="19">
        <v>46154</v>
      </c>
      <c r="D1060" s="24" t="str">
        <f t="shared" si="152"/>
        <v>83L</v>
      </c>
      <c r="E1060" s="13" t="str">
        <f>VLOOKUP(D:D,工作表2!A:B,2,0)</f>
        <v>建榮</v>
      </c>
      <c r="F1060" s="13" t="str">
        <f>VLOOKUP(D:D,工作表2!A:C,3,0)</f>
        <v>藍</v>
      </c>
      <c r="G1060" s="17">
        <v>10325701</v>
      </c>
      <c r="H1060" s="17" t="s">
        <v>1109</v>
      </c>
      <c r="I1060" s="18" t="s">
        <v>1112</v>
      </c>
      <c r="J1060" s="15">
        <v>30</v>
      </c>
      <c r="K1060" s="15">
        <v>6</v>
      </c>
      <c r="L1060" s="20">
        <f t="shared" si="153"/>
        <v>0.2</v>
      </c>
      <c r="M1060" s="12">
        <v>4</v>
      </c>
      <c r="N1060" s="12">
        <v>2</v>
      </c>
      <c r="Q1060" s="23"/>
    </row>
    <row r="1061" spans="1:17">
      <c r="A1061" s="25">
        <v>46150</v>
      </c>
      <c r="B1061" s="29">
        <v>0.5854166666666667</v>
      </c>
      <c r="C1061" s="11">
        <v>46155</v>
      </c>
      <c r="D1061" s="24" t="str">
        <f t="shared" ref="D1061:D1077" si="154">RIGHT(I1061,3)</f>
        <v>HSS</v>
      </c>
      <c r="E1061" s="13" t="str">
        <f>VLOOKUP(D:D,工作表2!A:B,2,0)</f>
        <v>邦善</v>
      </c>
      <c r="F1061" s="13" t="str">
        <f>VLOOKUP(D:D,工作表2!A:C,3,0)</f>
        <v>銀</v>
      </c>
      <c r="G1061" s="17">
        <v>10328267</v>
      </c>
      <c r="H1061" s="17" t="s">
        <v>943</v>
      </c>
      <c r="I1061" s="18" t="s">
        <v>949</v>
      </c>
      <c r="J1061" s="15">
        <v>30</v>
      </c>
      <c r="K1061" s="15">
        <v>2</v>
      </c>
      <c r="L1061" s="20">
        <f t="shared" ref="L1061:L1077" si="155">K1061/J1061</f>
        <v>6.6666666666666666E-2</v>
      </c>
      <c r="M1061" s="12">
        <v>2</v>
      </c>
      <c r="Q1061" s="23"/>
    </row>
    <row r="1062" spans="1:17">
      <c r="A1062" s="25">
        <v>46154</v>
      </c>
      <c r="C1062" s="11">
        <v>46155</v>
      </c>
      <c r="D1062" s="24" t="str">
        <f t="shared" si="154"/>
        <v>HUR</v>
      </c>
      <c r="E1062" s="13" t="str">
        <f>VLOOKUP(D:D,工作表2!A:B,2,0)</f>
        <v>建榮</v>
      </c>
      <c r="F1062" s="13" t="str">
        <f>VLOOKUP(D:D,工作表2!A:C,3,0)</f>
        <v>紅</v>
      </c>
      <c r="G1062" s="17">
        <v>10328270</v>
      </c>
      <c r="H1062" s="17" t="s">
        <v>1024</v>
      </c>
      <c r="I1062" s="18" t="s">
        <v>1026</v>
      </c>
      <c r="J1062" s="15">
        <v>30</v>
      </c>
      <c r="K1062" s="15">
        <v>5</v>
      </c>
      <c r="L1062" s="20">
        <f t="shared" si="155"/>
        <v>0.16666666666666666</v>
      </c>
      <c r="M1062" s="12">
        <v>3</v>
      </c>
      <c r="N1062" s="12">
        <v>2</v>
      </c>
      <c r="Q1062" s="23"/>
    </row>
    <row r="1063" spans="1:17">
      <c r="A1063" s="25">
        <v>46154</v>
      </c>
      <c r="B1063" s="29">
        <v>0.59027777777777779</v>
      </c>
      <c r="C1063" s="19">
        <v>46155</v>
      </c>
      <c r="D1063" s="24" t="str">
        <f t="shared" si="154"/>
        <v>NBB</v>
      </c>
      <c r="E1063" s="13" t="str">
        <f>VLOOKUP(D:D,工作表2!A:B,2,0)</f>
        <v>邦善</v>
      </c>
      <c r="F1063" s="13" t="str">
        <f>VLOOKUP(D:D,工作表2!A:C,3,0)</f>
        <v>霧面黑</v>
      </c>
      <c r="G1063" s="17">
        <v>10327554</v>
      </c>
      <c r="H1063" s="17" t="s">
        <v>369</v>
      </c>
      <c r="I1063" s="18" t="s">
        <v>371</v>
      </c>
      <c r="J1063" s="15">
        <v>3192</v>
      </c>
      <c r="K1063" s="15">
        <v>48</v>
      </c>
      <c r="L1063" s="20">
        <f t="shared" si="155"/>
        <v>1.5037593984962405E-2</v>
      </c>
      <c r="M1063" s="12">
        <v>36</v>
      </c>
      <c r="N1063" s="12">
        <v>12</v>
      </c>
      <c r="P1063" s="32" t="s">
        <v>1121</v>
      </c>
      <c r="Q1063" s="23"/>
    </row>
    <row r="1064" spans="1:17">
      <c r="A1064" s="25">
        <v>46150</v>
      </c>
      <c r="B1064" s="29">
        <v>0.55069444444444449</v>
      </c>
      <c r="C1064" s="19">
        <v>46155</v>
      </c>
      <c r="D1064" s="24" t="str">
        <f t="shared" si="154"/>
        <v>RRA</v>
      </c>
      <c r="E1064" s="13" t="str">
        <f>VLOOKUP(D:D,工作表2!A:B,2,0)</f>
        <v>邦善</v>
      </c>
      <c r="F1064" s="13" t="str">
        <f>VLOOKUP(D:D,工作表2!A:C,3,0)</f>
        <v>灰</v>
      </c>
      <c r="G1064" s="17">
        <v>10327556</v>
      </c>
      <c r="H1064" s="17" t="s">
        <v>544</v>
      </c>
      <c r="I1064" s="18" t="s">
        <v>555</v>
      </c>
      <c r="J1064" s="15">
        <v>532</v>
      </c>
      <c r="K1064" s="15">
        <v>32</v>
      </c>
      <c r="L1064" s="20">
        <f t="shared" si="155"/>
        <v>6.0150375939849621E-2</v>
      </c>
      <c r="M1064" s="12">
        <v>20</v>
      </c>
      <c r="N1064" s="12">
        <v>12</v>
      </c>
      <c r="Q1064" s="23"/>
    </row>
    <row r="1065" spans="1:17">
      <c r="A1065" s="25">
        <v>46154</v>
      </c>
      <c r="B1065" s="29">
        <v>0.4145833333333333</v>
      </c>
      <c r="C1065" s="19">
        <v>46155</v>
      </c>
      <c r="D1065" s="24" t="str">
        <f t="shared" si="154"/>
        <v>QRB</v>
      </c>
      <c r="E1065" s="13" t="str">
        <f>VLOOKUP(D:D,工作表2!A:B,2,0)</f>
        <v>邦善</v>
      </c>
      <c r="F1065" s="13" t="str">
        <f>VLOOKUP(D:D,工作表2!A:C,3,0)</f>
        <v>霧面黑</v>
      </c>
      <c r="G1065" s="17">
        <v>10327389</v>
      </c>
      <c r="H1065" s="17" t="s">
        <v>170</v>
      </c>
      <c r="I1065" s="18" t="s">
        <v>171</v>
      </c>
      <c r="J1065" s="15">
        <v>26600</v>
      </c>
      <c r="K1065" s="15">
        <v>844</v>
      </c>
      <c r="L1065" s="20">
        <f t="shared" si="155"/>
        <v>3.1729323308270677E-2</v>
      </c>
      <c r="M1065" s="12">
        <v>635</v>
      </c>
      <c r="N1065" s="12">
        <v>204</v>
      </c>
      <c r="O1065" s="15">
        <v>5</v>
      </c>
      <c r="Q1065" s="23"/>
    </row>
    <row r="1066" spans="1:17">
      <c r="A1066" s="25">
        <v>46154</v>
      </c>
      <c r="B1066" s="29">
        <v>0.5493055555555556</v>
      </c>
      <c r="C1066" s="19">
        <v>46155</v>
      </c>
      <c r="D1066" s="24" t="str">
        <f t="shared" si="154"/>
        <v>XDL</v>
      </c>
      <c r="E1066" s="13" t="str">
        <f>VLOOKUP(D:D,工作表2!A:B,2,0)</f>
        <v>敦陽</v>
      </c>
      <c r="F1066" s="13" t="str">
        <f>VLOOKUP(D:D,工作表2!A:C,3,0)</f>
        <v>藍</v>
      </c>
      <c r="G1066" s="17">
        <v>10329845</v>
      </c>
      <c r="H1066" s="17" t="s">
        <v>1058</v>
      </c>
      <c r="I1066" s="18" t="s">
        <v>1065</v>
      </c>
      <c r="J1066" s="15">
        <v>140</v>
      </c>
      <c r="K1066" s="15">
        <v>12</v>
      </c>
      <c r="L1066" s="20">
        <f t="shared" si="155"/>
        <v>8.5714285714285715E-2</v>
      </c>
      <c r="M1066" s="12">
        <v>10</v>
      </c>
      <c r="N1066" s="12">
        <v>2</v>
      </c>
      <c r="Q1066" s="23"/>
    </row>
    <row r="1067" spans="1:17">
      <c r="A1067" s="25">
        <v>46154</v>
      </c>
      <c r="B1067" s="29">
        <v>0.56111111111111112</v>
      </c>
      <c r="C1067" s="19">
        <v>46155</v>
      </c>
      <c r="D1067" s="24" t="str">
        <f t="shared" si="154"/>
        <v>N8B</v>
      </c>
      <c r="E1067" s="13" t="str">
        <f>VLOOKUP(D:D,工作表2!A:B,2,0)</f>
        <v>邦善</v>
      </c>
      <c r="F1067" s="13" t="str">
        <f>VLOOKUP(D:D,工作表2!A:C,3,0)</f>
        <v>霧面黑</v>
      </c>
      <c r="G1067" s="17">
        <v>10327544</v>
      </c>
      <c r="H1067" s="17" t="s">
        <v>5</v>
      </c>
      <c r="I1067" s="18" t="s">
        <v>6</v>
      </c>
      <c r="J1067" s="15">
        <v>6384</v>
      </c>
      <c r="K1067" s="15">
        <v>71</v>
      </c>
      <c r="L1067" s="20">
        <f t="shared" si="155"/>
        <v>1.1121553884711779E-2</v>
      </c>
      <c r="M1067" s="12">
        <v>65</v>
      </c>
      <c r="N1067" s="12">
        <v>6</v>
      </c>
      <c r="Q1067" s="23"/>
    </row>
    <row r="1068" spans="1:17">
      <c r="A1068" s="25">
        <v>46153</v>
      </c>
      <c r="B1068" s="29">
        <v>0.52500000000000002</v>
      </c>
      <c r="C1068" s="19">
        <v>46155</v>
      </c>
      <c r="D1068" s="24" t="str">
        <f t="shared" si="154"/>
        <v>NBB</v>
      </c>
      <c r="E1068" s="13" t="str">
        <f>VLOOKUP(D:D,工作表2!A:B,2,0)</f>
        <v>邦善</v>
      </c>
      <c r="F1068" s="13" t="str">
        <f>VLOOKUP(D:D,工作表2!A:C,3,0)</f>
        <v>霧面黑</v>
      </c>
      <c r="G1068" s="17">
        <v>10327546</v>
      </c>
      <c r="H1068" s="17" t="s">
        <v>306</v>
      </c>
      <c r="I1068" s="18" t="s">
        <v>307</v>
      </c>
      <c r="J1068" s="15">
        <v>2926</v>
      </c>
      <c r="K1068" s="15">
        <v>29</v>
      </c>
      <c r="L1068" s="20">
        <f t="shared" si="155"/>
        <v>9.9111414900888584E-3</v>
      </c>
      <c r="M1068" s="12">
        <v>25</v>
      </c>
      <c r="N1068" s="12">
        <v>4</v>
      </c>
      <c r="Q1068" s="23"/>
    </row>
    <row r="1069" spans="1:17">
      <c r="A1069" s="25">
        <v>46153</v>
      </c>
      <c r="B1069" s="29">
        <v>0.57430555555555551</v>
      </c>
      <c r="C1069" s="19">
        <v>46155</v>
      </c>
      <c r="D1069" s="24" t="str">
        <f t="shared" si="154"/>
        <v>NCB</v>
      </c>
      <c r="E1069" s="13" t="str">
        <f>VLOOKUP(D:D,工作表2!A:B,2,0)</f>
        <v>邦善</v>
      </c>
      <c r="F1069" s="13" t="str">
        <f>VLOOKUP(D:D,工作表2!A:C,3,0)</f>
        <v>黑</v>
      </c>
      <c r="G1069" s="17">
        <v>10327543</v>
      </c>
      <c r="H1069" s="17" t="s">
        <v>751</v>
      </c>
      <c r="I1069" s="18" t="s">
        <v>754</v>
      </c>
      <c r="J1069" s="15">
        <v>620</v>
      </c>
      <c r="K1069" s="15">
        <v>40</v>
      </c>
      <c r="L1069" s="20">
        <f t="shared" si="155"/>
        <v>6.4516129032258063E-2</v>
      </c>
      <c r="M1069" s="12">
        <v>35</v>
      </c>
      <c r="N1069" s="12">
        <v>5</v>
      </c>
      <c r="Q1069" s="23"/>
    </row>
    <row r="1070" spans="1:17">
      <c r="A1070" s="25">
        <v>46153</v>
      </c>
      <c r="B1070" s="29">
        <v>0.57708333333333328</v>
      </c>
      <c r="C1070" s="19">
        <v>46155</v>
      </c>
      <c r="D1070" s="24" t="str">
        <f t="shared" si="154"/>
        <v>VPL</v>
      </c>
      <c r="E1070" s="13" t="str">
        <f>VLOOKUP(D:D,工作表2!A:B,2,0)</f>
        <v>邦善</v>
      </c>
      <c r="F1070" s="13" t="str">
        <f>VLOOKUP(D:D,工作表2!A:C,3,0)</f>
        <v>藍</v>
      </c>
      <c r="G1070" s="17">
        <v>10327545</v>
      </c>
      <c r="H1070" s="17" t="s">
        <v>325</v>
      </c>
      <c r="I1070" s="18" t="s">
        <v>326</v>
      </c>
      <c r="J1070" s="15">
        <v>798</v>
      </c>
      <c r="K1070" s="15">
        <v>50</v>
      </c>
      <c r="L1070" s="20">
        <f t="shared" si="155"/>
        <v>6.2656641604010022E-2</v>
      </c>
      <c r="M1070" s="12">
        <v>30</v>
      </c>
      <c r="N1070" s="12">
        <v>20</v>
      </c>
      <c r="Q1070" s="23"/>
    </row>
    <row r="1071" spans="1:17" ht="15" customHeight="1">
      <c r="A1071" s="25">
        <v>46150</v>
      </c>
      <c r="B1071" s="29">
        <v>0.58333333333333337</v>
      </c>
      <c r="C1071" s="19">
        <v>46155</v>
      </c>
      <c r="D1071" s="24" t="str">
        <f t="shared" si="154"/>
        <v>75W</v>
      </c>
      <c r="E1071" s="13" t="str">
        <f>VLOOKUP(D:D,工作表2!A:B,2,0)</f>
        <v>敦陽</v>
      </c>
      <c r="F1071" s="13" t="str">
        <f>VLOOKUP(D:D,工作表2!A:C,3,0)</f>
        <v>白</v>
      </c>
      <c r="G1071" s="17">
        <v>10327551</v>
      </c>
      <c r="H1071" s="17" t="s">
        <v>524</v>
      </c>
      <c r="I1071" s="18" t="s">
        <v>536</v>
      </c>
      <c r="J1071" s="15">
        <v>120</v>
      </c>
      <c r="K1071" s="15">
        <v>35</v>
      </c>
      <c r="L1071" s="20">
        <f t="shared" si="155"/>
        <v>0.29166666666666669</v>
      </c>
      <c r="M1071" s="12">
        <v>22</v>
      </c>
      <c r="N1071" s="12">
        <v>13</v>
      </c>
      <c r="Q1071" s="23" t="str">
        <f>VLOOKUP(H:H,'[1]雷雕處遮蔽&amp;艾仕得8844'!$A:$C,3,0)</f>
        <v>23度頭蓋</v>
      </c>
    </row>
    <row r="1072" spans="1:17">
      <c r="A1072" s="25">
        <v>46154</v>
      </c>
      <c r="B1072" s="29">
        <v>0.62152777777777779</v>
      </c>
      <c r="C1072" s="19">
        <v>46155</v>
      </c>
      <c r="D1072" s="24" t="str">
        <f t="shared" si="154"/>
        <v>Q9B</v>
      </c>
      <c r="E1072" s="13" t="str">
        <f>VLOOKUP(D:D,工作表2!A:B,2,0)</f>
        <v>邦善</v>
      </c>
      <c r="F1072" s="13" t="str">
        <f>VLOOKUP(D:D,工作表2!A:C,3,0)</f>
        <v>黑</v>
      </c>
      <c r="G1072" s="17">
        <v>10331346</v>
      </c>
      <c r="H1072" s="17" t="s">
        <v>1045</v>
      </c>
      <c r="I1072" s="18" t="s">
        <v>1050</v>
      </c>
      <c r="J1072" s="15">
        <v>40</v>
      </c>
      <c r="K1072" s="15">
        <v>7</v>
      </c>
      <c r="L1072" s="20">
        <f t="shared" si="155"/>
        <v>0.17499999999999999</v>
      </c>
      <c r="M1072" s="12">
        <v>5</v>
      </c>
      <c r="N1072" s="12">
        <v>2</v>
      </c>
      <c r="Q1072" s="23" t="str">
        <f>VLOOKUP(H:H,'[1]雷雕處遮蔽&amp;艾仕得8844'!$A:$C,3,0)</f>
        <v>R</v>
      </c>
    </row>
    <row r="1073" spans="1:17">
      <c r="A1073" s="25">
        <v>46149</v>
      </c>
      <c r="B1073" s="29">
        <v>0.61527777777777781</v>
      </c>
      <c r="C1073" s="19">
        <v>46155</v>
      </c>
      <c r="D1073" s="24" t="str">
        <f t="shared" si="154"/>
        <v>NGW</v>
      </c>
      <c r="E1073" s="13" t="str">
        <f>VLOOKUP(D:D,工作表2!A:B,2,0)</f>
        <v>邦善</v>
      </c>
      <c r="F1073" s="13" t="str">
        <f>VLOOKUP(D:D,工作表2!A:C,3,0)</f>
        <v>白</v>
      </c>
      <c r="G1073" s="17">
        <v>10324818</v>
      </c>
      <c r="H1073" s="17" t="s">
        <v>372</v>
      </c>
      <c r="I1073" s="18" t="s">
        <v>373</v>
      </c>
      <c r="J1073" s="15">
        <v>560</v>
      </c>
      <c r="K1073" s="15">
        <v>37</v>
      </c>
      <c r="L1073" s="20">
        <f t="shared" si="155"/>
        <v>6.6071428571428573E-2</v>
      </c>
      <c r="M1073" s="12">
        <v>30</v>
      </c>
      <c r="N1073" s="12">
        <v>7</v>
      </c>
      <c r="Q1073" s="23"/>
    </row>
    <row r="1074" spans="1:17">
      <c r="A1074" s="25">
        <v>46149</v>
      </c>
      <c r="B1074" s="29">
        <v>0.61527777777777781</v>
      </c>
      <c r="C1074" s="19">
        <v>46155</v>
      </c>
      <c r="D1074" s="24" t="str">
        <f t="shared" si="154"/>
        <v>NGW</v>
      </c>
      <c r="E1074" s="13" t="str">
        <f>VLOOKUP(D:D,工作表2!A:B,2,0)</f>
        <v>邦善</v>
      </c>
      <c r="F1074" s="13" t="str">
        <f>VLOOKUP(D:D,工作表2!A:C,3,0)</f>
        <v>白</v>
      </c>
      <c r="G1074" s="17">
        <v>10321969</v>
      </c>
      <c r="H1074" s="17" t="s">
        <v>372</v>
      </c>
      <c r="I1074" s="18" t="s">
        <v>373</v>
      </c>
      <c r="J1074" s="15">
        <v>520</v>
      </c>
      <c r="K1074" s="15">
        <v>35</v>
      </c>
      <c r="L1074" s="20">
        <f t="shared" si="155"/>
        <v>6.7307692307692304E-2</v>
      </c>
      <c r="M1074" s="12">
        <v>28</v>
      </c>
      <c r="N1074" s="12">
        <v>7</v>
      </c>
      <c r="Q1074" s="23"/>
    </row>
    <row r="1075" spans="1:17">
      <c r="A1075" s="25">
        <v>46150</v>
      </c>
      <c r="B1075" s="29">
        <v>0.56805555555555554</v>
      </c>
      <c r="C1075" s="19">
        <v>46155</v>
      </c>
      <c r="D1075" s="24" t="str">
        <f t="shared" si="154"/>
        <v>NGW</v>
      </c>
      <c r="E1075" s="13" t="str">
        <f>VLOOKUP(D:D,工作表2!A:B,2,0)</f>
        <v>邦善</v>
      </c>
      <c r="F1075" s="13" t="str">
        <f>VLOOKUP(D:D,工作表2!A:C,3,0)</f>
        <v>白</v>
      </c>
      <c r="G1075" s="17">
        <v>10324815</v>
      </c>
      <c r="H1075" s="17" t="s">
        <v>382</v>
      </c>
      <c r="I1075" s="18" t="s">
        <v>387</v>
      </c>
      <c r="J1075" s="15">
        <v>360</v>
      </c>
      <c r="K1075" s="15">
        <v>30</v>
      </c>
      <c r="L1075" s="20">
        <f t="shared" si="155"/>
        <v>8.3333333333333329E-2</v>
      </c>
      <c r="M1075" s="12">
        <v>25</v>
      </c>
      <c r="N1075" s="12">
        <v>5</v>
      </c>
      <c r="Q1075" s="23" t="str">
        <f>VLOOKUP(H:H,'[1]雷雕處遮蔽&amp;艾仕得8844'!$A:$C,3,0)</f>
        <v>R</v>
      </c>
    </row>
    <row r="1076" spans="1:17">
      <c r="A1076" s="25">
        <v>46149</v>
      </c>
      <c r="B1076" s="29">
        <v>0.39097222222222222</v>
      </c>
      <c r="C1076" s="19">
        <v>46155</v>
      </c>
      <c r="D1076" s="24" t="str">
        <f t="shared" si="154"/>
        <v>Q9B</v>
      </c>
      <c r="E1076" s="13" t="str">
        <f>VLOOKUP(D:D,工作表2!A:B,2,0)</f>
        <v>邦善</v>
      </c>
      <c r="F1076" s="13" t="str">
        <f>VLOOKUP(D:D,工作表2!A:C,3,0)</f>
        <v>黑</v>
      </c>
      <c r="G1076" s="17">
        <v>10324828</v>
      </c>
      <c r="H1076" s="17" t="s">
        <v>631</v>
      </c>
      <c r="I1076" s="18" t="s">
        <v>637</v>
      </c>
      <c r="J1076" s="15">
        <v>384</v>
      </c>
      <c r="K1076" s="15">
        <v>30</v>
      </c>
      <c r="L1076" s="20">
        <f t="shared" si="155"/>
        <v>7.8125E-2</v>
      </c>
      <c r="M1076" s="12">
        <v>25</v>
      </c>
      <c r="N1076" s="12">
        <v>5</v>
      </c>
      <c r="Q1076" s="23" t="str">
        <f>VLOOKUP(H:H,'[1]雷雕處遮蔽&amp;艾仕得8844'!$A:$C,3,0)</f>
        <v>L</v>
      </c>
    </row>
    <row r="1077" spans="1:17">
      <c r="A1077" s="25">
        <v>46153</v>
      </c>
      <c r="B1077" s="29">
        <v>0.58194444444444449</v>
      </c>
      <c r="C1077" s="19">
        <v>46155</v>
      </c>
      <c r="D1077" s="24" t="str">
        <f t="shared" si="154"/>
        <v>MZY</v>
      </c>
      <c r="E1077" s="13" t="str">
        <f>VLOOKUP(D:D,工作表2!A:B,2,0)</f>
        <v>邦善</v>
      </c>
      <c r="F1077" s="13" t="str">
        <f>VLOOKUP(D:D,工作表2!A:C,3,0)</f>
        <v>黃</v>
      </c>
      <c r="G1077" s="17">
        <v>10329838</v>
      </c>
      <c r="H1077" s="17" t="s">
        <v>1119</v>
      </c>
      <c r="I1077" s="18" t="s">
        <v>1120</v>
      </c>
      <c r="J1077" s="15">
        <v>30</v>
      </c>
      <c r="K1077" s="15">
        <v>6</v>
      </c>
      <c r="L1077" s="20">
        <f t="shared" si="155"/>
        <v>0.2</v>
      </c>
      <c r="M1077" s="12">
        <v>3</v>
      </c>
      <c r="N1077" s="12">
        <v>3</v>
      </c>
      <c r="Q1077" s="23"/>
    </row>
    <row r="1078" spans="1:17">
      <c r="A1078" s="25">
        <v>46156</v>
      </c>
      <c r="B1078" s="29">
        <v>0.37847222222222227</v>
      </c>
      <c r="C1078" s="11">
        <v>46156</v>
      </c>
      <c r="D1078" s="24" t="str">
        <f t="shared" ref="D1078:D1088" si="156">RIGHT(I1078,3)</f>
        <v>PLB</v>
      </c>
      <c r="E1078" s="13" t="str">
        <f>VLOOKUP(D:D,工作表2!A:B,2,0)</f>
        <v>邦善</v>
      </c>
      <c r="F1078" s="13" t="str">
        <f>VLOOKUP(D:D,工作表2!A:C,3,0)</f>
        <v>霧面黑</v>
      </c>
      <c r="G1078" s="17">
        <v>10328228</v>
      </c>
      <c r="H1078" s="17" t="s">
        <v>408</v>
      </c>
      <c r="I1078" s="18" t="s">
        <v>411</v>
      </c>
      <c r="J1078" s="15">
        <v>1330</v>
      </c>
      <c r="K1078" s="15">
        <v>37</v>
      </c>
      <c r="L1078" s="20">
        <f t="shared" ref="L1078:L1088" si="157">K1078/J1078</f>
        <v>2.7819548872180452E-2</v>
      </c>
      <c r="M1078" s="12">
        <v>30</v>
      </c>
      <c r="N1078" s="12">
        <v>7</v>
      </c>
      <c r="P1078" s="32" t="s">
        <v>1123</v>
      </c>
      <c r="Q1078" s="23"/>
    </row>
    <row r="1079" spans="1:17">
      <c r="A1079" s="25">
        <v>46155</v>
      </c>
      <c r="B1079" s="29">
        <v>0.3833333333333333</v>
      </c>
      <c r="C1079" s="11">
        <v>46156</v>
      </c>
      <c r="D1079" s="24" t="str">
        <f t="shared" si="156"/>
        <v>QRB</v>
      </c>
      <c r="E1079" s="13" t="str">
        <f>VLOOKUP(D:D,工作表2!A:B,2,0)</f>
        <v>邦善</v>
      </c>
      <c r="F1079" s="13" t="str">
        <f>VLOOKUP(D:D,工作表2!A:C,3,0)</f>
        <v>霧面黑</v>
      </c>
      <c r="G1079" s="17">
        <v>10327390</v>
      </c>
      <c r="H1079" s="17" t="s">
        <v>170</v>
      </c>
      <c r="I1079" s="18" t="s">
        <v>171</v>
      </c>
      <c r="J1079" s="15">
        <v>26600</v>
      </c>
      <c r="K1079" s="15">
        <v>957</v>
      </c>
      <c r="L1079" s="20">
        <f t="shared" si="157"/>
        <v>3.5977443609022559E-2</v>
      </c>
      <c r="M1079" s="12">
        <v>748</v>
      </c>
      <c r="N1079" s="12">
        <v>207</v>
      </c>
      <c r="O1079" s="15">
        <v>2</v>
      </c>
      <c r="Q1079" s="23"/>
    </row>
    <row r="1080" spans="1:17">
      <c r="A1080" s="25">
        <v>46154</v>
      </c>
      <c r="B1080" s="29">
        <v>0.65972222222222221</v>
      </c>
      <c r="C1080" s="19">
        <v>46156</v>
      </c>
      <c r="D1080" s="24" t="str">
        <f t="shared" si="156"/>
        <v>XEB</v>
      </c>
      <c r="E1080" s="13" t="str">
        <f>VLOOKUP(D:D,工作表2!A:B,2,0)</f>
        <v>敦陽</v>
      </c>
      <c r="F1080" s="13" t="str">
        <f>VLOOKUP(D:D,工作表2!A:C,3,0)</f>
        <v>亮黑</v>
      </c>
      <c r="G1080" s="17">
        <v>10329844</v>
      </c>
      <c r="H1080" s="17" t="s">
        <v>912</v>
      </c>
      <c r="I1080" s="18" t="s">
        <v>916</v>
      </c>
      <c r="J1080" s="15">
        <v>70</v>
      </c>
      <c r="K1080" s="15">
        <v>7</v>
      </c>
      <c r="L1080" s="20">
        <f t="shared" si="157"/>
        <v>0.1</v>
      </c>
      <c r="M1080" s="12">
        <v>4</v>
      </c>
      <c r="N1080" s="12">
        <v>3</v>
      </c>
      <c r="Q1080" s="23"/>
    </row>
    <row r="1081" spans="1:17">
      <c r="A1081" s="25">
        <v>46153</v>
      </c>
      <c r="B1081" s="29">
        <v>0.60833333333333328</v>
      </c>
      <c r="C1081" s="19">
        <v>46156</v>
      </c>
      <c r="D1081" s="24" t="str">
        <f t="shared" si="156"/>
        <v>NGW</v>
      </c>
      <c r="E1081" s="13" t="str">
        <f>VLOOKUP(D:D,工作表2!A:B,2,0)</f>
        <v>邦善</v>
      </c>
      <c r="F1081" s="13" t="str">
        <f>VLOOKUP(D:D,工作表2!A:C,3,0)</f>
        <v>白</v>
      </c>
      <c r="G1081" s="17">
        <v>10324812</v>
      </c>
      <c r="H1081" s="17" t="s">
        <v>896</v>
      </c>
      <c r="I1081" s="18" t="s">
        <v>903</v>
      </c>
      <c r="J1081" s="15">
        <v>1040</v>
      </c>
      <c r="K1081" s="15">
        <v>59</v>
      </c>
      <c r="L1081" s="20">
        <f t="shared" si="157"/>
        <v>5.673076923076923E-2</v>
      </c>
      <c r="M1081" s="12">
        <v>35</v>
      </c>
      <c r="N1081" s="12">
        <v>24</v>
      </c>
      <c r="Q1081" s="23" t="str">
        <f>VLOOKUP(H:H,'[1]雷雕處遮蔽&amp;艾仕得8844'!$A:$C,3,0)</f>
        <v>R</v>
      </c>
    </row>
    <row r="1082" spans="1:17">
      <c r="A1082" s="25">
        <v>46153</v>
      </c>
      <c r="B1082" s="29">
        <v>0.58680555555555558</v>
      </c>
      <c r="C1082" s="19">
        <v>46156</v>
      </c>
      <c r="D1082" s="24" t="str">
        <f t="shared" si="156"/>
        <v>NGW</v>
      </c>
      <c r="E1082" s="13" t="str">
        <f>VLOOKUP(D:D,工作表2!A:B,2,0)</f>
        <v>邦善</v>
      </c>
      <c r="F1082" s="13" t="str">
        <f>VLOOKUP(D:D,工作表2!A:C,3,0)</f>
        <v>白</v>
      </c>
      <c r="G1082" s="17">
        <v>10324814</v>
      </c>
      <c r="H1082" s="17" t="s">
        <v>882</v>
      </c>
      <c r="I1082" s="18" t="s">
        <v>884</v>
      </c>
      <c r="J1082" s="15">
        <v>520</v>
      </c>
      <c r="K1082" s="15">
        <v>39</v>
      </c>
      <c r="L1082" s="20">
        <f t="shared" si="157"/>
        <v>7.4999999999999997E-2</v>
      </c>
      <c r="M1082" s="12">
        <v>35</v>
      </c>
      <c r="N1082" s="12">
        <v>4</v>
      </c>
      <c r="Q1082" s="23" t="str">
        <f>VLOOKUP(H:H,'[1]雷雕處遮蔽&amp;艾仕得8844'!$A:$C,3,0)</f>
        <v>L</v>
      </c>
    </row>
    <row r="1083" spans="1:17">
      <c r="A1083" s="25">
        <v>46150</v>
      </c>
      <c r="B1083" s="29">
        <v>0.55347222222222225</v>
      </c>
      <c r="C1083" s="19">
        <v>46156</v>
      </c>
      <c r="D1083" s="24" t="str">
        <f t="shared" si="156"/>
        <v>NGW</v>
      </c>
      <c r="E1083" s="13" t="str">
        <f>VLOOKUP(D:D,工作表2!A:B,2,0)</f>
        <v>邦善</v>
      </c>
      <c r="F1083" s="13" t="str">
        <f>VLOOKUP(D:D,工作表2!A:C,3,0)</f>
        <v>白</v>
      </c>
      <c r="G1083" s="17">
        <v>10324816</v>
      </c>
      <c r="H1083" s="17" t="s">
        <v>579</v>
      </c>
      <c r="I1083" s="18" t="s">
        <v>581</v>
      </c>
      <c r="J1083" s="15">
        <v>280</v>
      </c>
      <c r="K1083" s="15">
        <v>21</v>
      </c>
      <c r="L1083" s="20">
        <f t="shared" si="157"/>
        <v>7.4999999999999997E-2</v>
      </c>
      <c r="M1083" s="12">
        <v>18</v>
      </c>
      <c r="N1083" s="12">
        <v>3</v>
      </c>
      <c r="Q1083" s="23"/>
    </row>
    <row r="1084" spans="1:17">
      <c r="A1084" s="25">
        <v>46150</v>
      </c>
      <c r="B1084" s="29">
        <v>0.56041666666666667</v>
      </c>
      <c r="C1084" s="19">
        <v>46156</v>
      </c>
      <c r="D1084" s="24" t="str">
        <f t="shared" si="156"/>
        <v>NGW</v>
      </c>
      <c r="E1084" s="13" t="str">
        <f>VLOOKUP(D:D,工作表2!A:B,2,0)</f>
        <v>邦善</v>
      </c>
      <c r="F1084" s="13" t="str">
        <f>VLOOKUP(D:D,工作表2!A:C,3,0)</f>
        <v>白</v>
      </c>
      <c r="G1084" s="17">
        <v>10324830</v>
      </c>
      <c r="H1084" s="17" t="s">
        <v>385</v>
      </c>
      <c r="I1084" s="18" t="s">
        <v>390</v>
      </c>
      <c r="J1084" s="15">
        <v>280</v>
      </c>
      <c r="K1084" s="15">
        <v>12</v>
      </c>
      <c r="L1084" s="20">
        <f t="shared" si="157"/>
        <v>4.2857142857142858E-2</v>
      </c>
      <c r="M1084" s="12">
        <v>10</v>
      </c>
      <c r="N1084" s="12">
        <v>2</v>
      </c>
      <c r="Q1084" s="23"/>
    </row>
    <row r="1085" spans="1:17">
      <c r="A1085" s="25">
        <v>46150</v>
      </c>
      <c r="B1085" s="29">
        <v>0.38541666666666669</v>
      </c>
      <c r="C1085" s="19">
        <v>46156</v>
      </c>
      <c r="D1085" s="24" t="str">
        <f t="shared" si="156"/>
        <v>Q9B</v>
      </c>
      <c r="E1085" s="13" t="str">
        <f>VLOOKUP(D:D,工作表2!A:B,2,0)</f>
        <v>邦善</v>
      </c>
      <c r="F1085" s="13" t="str">
        <f>VLOOKUP(D:D,工作表2!A:C,3,0)</f>
        <v>黑</v>
      </c>
      <c r="G1085" s="17">
        <v>10324821</v>
      </c>
      <c r="H1085" s="17" t="s">
        <v>939</v>
      </c>
      <c r="I1085" s="18" t="s">
        <v>945</v>
      </c>
      <c r="J1085" s="15">
        <v>1000</v>
      </c>
      <c r="K1085" s="15">
        <v>245</v>
      </c>
      <c r="L1085" s="20">
        <f t="shared" si="157"/>
        <v>0.245</v>
      </c>
      <c r="M1085" s="12">
        <v>206</v>
      </c>
      <c r="N1085" s="12">
        <v>39</v>
      </c>
      <c r="P1085" s="32" t="s">
        <v>1122</v>
      </c>
      <c r="Q1085" s="23" t="str">
        <f>VLOOKUP(H:H,'[1]雷雕處遮蔽&amp;艾仕得8844'!$A:$C,3,0)</f>
        <v>L</v>
      </c>
    </row>
    <row r="1086" spans="1:17">
      <c r="A1086" s="25">
        <v>46153</v>
      </c>
      <c r="B1086" s="29">
        <v>0.64513888888888882</v>
      </c>
      <c r="C1086" s="19">
        <v>46156</v>
      </c>
      <c r="D1086" s="24" t="str">
        <f t="shared" si="156"/>
        <v>NGW</v>
      </c>
      <c r="E1086" s="13" t="str">
        <f>VLOOKUP(D:D,工作表2!A:B,2,0)</f>
        <v>邦善</v>
      </c>
      <c r="F1086" s="13" t="str">
        <f>VLOOKUP(D:D,工作表2!A:C,3,0)</f>
        <v>白</v>
      </c>
      <c r="G1086" s="17">
        <v>10324827</v>
      </c>
      <c r="H1086" s="17" t="s">
        <v>1062</v>
      </c>
      <c r="I1086" s="18" t="s">
        <v>1069</v>
      </c>
      <c r="J1086" s="15">
        <v>520</v>
      </c>
      <c r="K1086" s="15">
        <v>25</v>
      </c>
      <c r="L1086" s="20">
        <f t="shared" si="157"/>
        <v>4.807692307692308E-2</v>
      </c>
      <c r="M1086" s="12">
        <v>20</v>
      </c>
      <c r="N1086" s="12">
        <v>5</v>
      </c>
      <c r="Q1086" s="23" t="str">
        <f>VLOOKUP(H:H,'[1]雷雕處遮蔽&amp;艾仕得8844'!$A:$C,3,0)</f>
        <v>R</v>
      </c>
    </row>
    <row r="1087" spans="1:17">
      <c r="A1087" s="25">
        <v>46150</v>
      </c>
      <c r="B1087" s="29">
        <v>0.3756944444444445</v>
      </c>
      <c r="C1087" s="19">
        <v>46156</v>
      </c>
      <c r="D1087" s="24" t="str">
        <f t="shared" si="156"/>
        <v>Q9B</v>
      </c>
      <c r="E1087" s="13" t="str">
        <f>VLOOKUP(D:D,工作表2!A:B,2,0)</f>
        <v>邦善</v>
      </c>
      <c r="F1087" s="13" t="str">
        <f>VLOOKUP(D:D,工作表2!A:C,3,0)</f>
        <v>黑</v>
      </c>
      <c r="G1087" s="17">
        <v>10324829</v>
      </c>
      <c r="H1087" s="17" t="s">
        <v>513</v>
      </c>
      <c r="I1087" s="18" t="s">
        <v>525</v>
      </c>
      <c r="J1087" s="15">
        <v>920</v>
      </c>
      <c r="K1087" s="15">
        <v>171</v>
      </c>
      <c r="L1087" s="20">
        <f t="shared" si="157"/>
        <v>0.18586956521739131</v>
      </c>
      <c r="M1087" s="12">
        <v>120</v>
      </c>
      <c r="N1087" s="12">
        <v>51</v>
      </c>
      <c r="Q1087" s="23" t="str">
        <f>VLOOKUP(H:H,'[1]雷雕處遮蔽&amp;艾仕得8844'!$A:$C,3,0)</f>
        <v>L</v>
      </c>
    </row>
    <row r="1088" spans="1:17">
      <c r="A1088" s="25">
        <v>46149</v>
      </c>
      <c r="B1088" s="29">
        <v>0.6020833333333333</v>
      </c>
      <c r="C1088" s="19">
        <v>46156</v>
      </c>
      <c r="D1088" s="24" t="str">
        <f t="shared" si="156"/>
        <v>NGW</v>
      </c>
      <c r="E1088" s="13" t="str">
        <f>VLOOKUP(D:D,工作表2!A:B,2,0)</f>
        <v>邦善</v>
      </c>
      <c r="F1088" s="13" t="str">
        <f>VLOOKUP(D:D,工作表2!A:C,3,0)</f>
        <v>白</v>
      </c>
      <c r="G1088" s="17">
        <v>10324801</v>
      </c>
      <c r="H1088" s="17" t="s">
        <v>521</v>
      </c>
      <c r="I1088" s="18" t="s">
        <v>533</v>
      </c>
      <c r="J1088" s="15">
        <v>2680</v>
      </c>
      <c r="K1088" s="15">
        <v>209</v>
      </c>
      <c r="L1088" s="20">
        <f t="shared" si="157"/>
        <v>7.7985074626865672E-2</v>
      </c>
      <c r="M1088" s="12">
        <v>189</v>
      </c>
      <c r="N1088" s="12">
        <v>20</v>
      </c>
      <c r="Q1088" s="23" t="str">
        <f>VLOOKUP(H:H,'[1]雷雕處遮蔽&amp;艾仕得8844'!$A:$C,3,0)</f>
        <v>0度頭蓋</v>
      </c>
    </row>
    <row r="1089" spans="1:17">
      <c r="A1089" s="25">
        <v>46153</v>
      </c>
      <c r="B1089" s="29">
        <v>0.56874999999999998</v>
      </c>
      <c r="C1089" s="11">
        <v>46157</v>
      </c>
      <c r="D1089" s="24" t="str">
        <f t="shared" ref="D1089:D1105" si="158">RIGHT(I1089,3)</f>
        <v>NCB</v>
      </c>
      <c r="E1089" s="13" t="str">
        <f>VLOOKUP(D:D,工作表2!A:B,2,0)</f>
        <v>邦善</v>
      </c>
      <c r="F1089" s="13" t="str">
        <f>VLOOKUP(D:D,工作表2!A:C,3,0)</f>
        <v>黑</v>
      </c>
      <c r="G1089" s="17">
        <v>10327555</v>
      </c>
      <c r="H1089" s="17" t="s">
        <v>368</v>
      </c>
      <c r="I1089" s="18" t="s">
        <v>370</v>
      </c>
      <c r="J1089" s="15">
        <v>798</v>
      </c>
      <c r="K1089" s="15">
        <v>57</v>
      </c>
      <c r="L1089" s="20">
        <f t="shared" ref="L1089:L1105" si="159">K1089/J1089</f>
        <v>7.1428571428571425E-2</v>
      </c>
      <c r="M1089" s="12">
        <v>50</v>
      </c>
      <c r="N1089" s="12">
        <v>7</v>
      </c>
      <c r="P1089" s="32" t="s">
        <v>1126</v>
      </c>
      <c r="Q1089" s="23"/>
    </row>
    <row r="1090" spans="1:17">
      <c r="A1090" s="25">
        <v>46156</v>
      </c>
      <c r="B1090" s="29">
        <v>0.41805555555555557</v>
      </c>
      <c r="C1090" s="11">
        <v>46157</v>
      </c>
      <c r="D1090" s="24" t="str">
        <f t="shared" si="158"/>
        <v>QUW</v>
      </c>
      <c r="E1090" s="13" t="str">
        <f>VLOOKUP(D:D,工作表2!A:B,2,0)</f>
        <v>邦善</v>
      </c>
      <c r="F1090" s="13" t="str">
        <f>VLOOKUP(D:D,工作表2!A:C,3,0)</f>
        <v>白</v>
      </c>
      <c r="G1090" s="17">
        <v>10331365</v>
      </c>
      <c r="H1090" s="17" t="s">
        <v>634</v>
      </c>
      <c r="I1090" s="18" t="s">
        <v>640</v>
      </c>
      <c r="J1090" s="15">
        <v>12768</v>
      </c>
      <c r="K1090" s="15">
        <v>529</v>
      </c>
      <c r="L1090" s="20">
        <f t="shared" si="159"/>
        <v>4.1431704260651632E-2</v>
      </c>
      <c r="M1090" s="12">
        <v>323</v>
      </c>
      <c r="N1090" s="12">
        <v>206</v>
      </c>
      <c r="Q1090" s="23"/>
    </row>
    <row r="1091" spans="1:17">
      <c r="A1091" s="25">
        <v>46156</v>
      </c>
      <c r="B1091" s="29">
        <v>0.46527777777777773</v>
      </c>
      <c r="C1091" s="19">
        <v>46157</v>
      </c>
      <c r="D1091" s="24" t="str">
        <f t="shared" si="158"/>
        <v>QUW</v>
      </c>
      <c r="E1091" s="13" t="str">
        <f>VLOOKUP(D:D,工作表2!A:B,2,0)</f>
        <v>邦善</v>
      </c>
      <c r="F1091" s="13" t="str">
        <f>VLOOKUP(D:D,工作表2!A:C,3,0)</f>
        <v>白</v>
      </c>
      <c r="G1091" s="17">
        <v>10331353</v>
      </c>
      <c r="H1091" s="17" t="s">
        <v>634</v>
      </c>
      <c r="I1091" s="18" t="s">
        <v>640</v>
      </c>
      <c r="J1091" s="15">
        <v>9576</v>
      </c>
      <c r="K1091" s="15">
        <v>416</v>
      </c>
      <c r="L1091" s="20">
        <f t="shared" si="159"/>
        <v>4.3441938178780282E-2</v>
      </c>
      <c r="M1091" s="12">
        <v>395</v>
      </c>
      <c r="N1091" s="12">
        <v>21</v>
      </c>
      <c r="Q1091" s="23"/>
    </row>
    <row r="1092" spans="1:17">
      <c r="A1092" s="25">
        <v>46156</v>
      </c>
      <c r="B1092" s="29">
        <v>0.54513888888888895</v>
      </c>
      <c r="C1092" s="19">
        <v>46157</v>
      </c>
      <c r="D1092" s="24" t="str">
        <f t="shared" si="158"/>
        <v>QXR</v>
      </c>
      <c r="E1092" s="13" t="str">
        <f>VLOOKUP(D:D,工作表2!A:B,2,0)</f>
        <v>邦善</v>
      </c>
      <c r="F1092" s="13" t="str">
        <f>VLOOKUP(D:D,工作表2!A:C,3,0)</f>
        <v>紅</v>
      </c>
      <c r="G1092" s="17">
        <v>10331373</v>
      </c>
      <c r="H1092" s="17" t="s">
        <v>582</v>
      </c>
      <c r="I1092" s="18" t="s">
        <v>586</v>
      </c>
      <c r="J1092" s="15">
        <v>1330</v>
      </c>
      <c r="K1092" s="15">
        <v>53</v>
      </c>
      <c r="L1092" s="20">
        <f t="shared" si="159"/>
        <v>3.9849624060150378E-2</v>
      </c>
      <c r="M1092" s="12">
        <v>46</v>
      </c>
      <c r="N1092" s="12">
        <v>7</v>
      </c>
      <c r="Q1092" s="23"/>
    </row>
    <row r="1093" spans="1:17">
      <c r="A1093" s="25">
        <v>46156</v>
      </c>
      <c r="B1093" s="29">
        <v>0.54236111111111118</v>
      </c>
      <c r="C1093" s="19">
        <v>46157</v>
      </c>
      <c r="D1093" s="24" t="str">
        <f t="shared" si="158"/>
        <v>R2L</v>
      </c>
      <c r="E1093" s="13" t="str">
        <f>VLOOKUP(D:D,工作表2!A:B,2,0)</f>
        <v>建榮</v>
      </c>
      <c r="F1093" s="13" t="str">
        <f>VLOOKUP(D:D,工作表2!A:C,3,0)</f>
        <v>藍</v>
      </c>
      <c r="G1093" s="17">
        <v>10331372</v>
      </c>
      <c r="H1093" s="17" t="s">
        <v>584</v>
      </c>
      <c r="I1093" s="18" t="s">
        <v>588</v>
      </c>
      <c r="J1093" s="15">
        <v>1330</v>
      </c>
      <c r="K1093" s="15">
        <v>79</v>
      </c>
      <c r="L1093" s="20">
        <f t="shared" si="159"/>
        <v>5.9398496240601506E-2</v>
      </c>
      <c r="M1093" s="12">
        <v>60</v>
      </c>
      <c r="N1093" s="12">
        <v>19</v>
      </c>
      <c r="Q1093" s="23"/>
    </row>
    <row r="1094" spans="1:17">
      <c r="A1094" s="25">
        <v>46154</v>
      </c>
      <c r="B1094" s="29">
        <v>0.5493055555555556</v>
      </c>
      <c r="C1094" s="19">
        <v>46157</v>
      </c>
      <c r="D1094" s="24" t="str">
        <f t="shared" si="158"/>
        <v>XDL</v>
      </c>
      <c r="E1094" s="13" t="str">
        <f>VLOOKUP(D:D,工作表2!A:B,2,0)</f>
        <v>敦陽</v>
      </c>
      <c r="F1094" s="13" t="str">
        <f>VLOOKUP(D:D,工作表2!A:C,3,0)</f>
        <v>藍</v>
      </c>
      <c r="G1094" s="17">
        <v>10329843</v>
      </c>
      <c r="H1094" s="17" t="s">
        <v>1061</v>
      </c>
      <c r="I1094" s="18" t="s">
        <v>1068</v>
      </c>
      <c r="J1094" s="15">
        <v>70</v>
      </c>
      <c r="K1094" s="15">
        <v>6</v>
      </c>
      <c r="L1094" s="20">
        <f t="shared" si="159"/>
        <v>8.5714285714285715E-2</v>
      </c>
      <c r="M1094" s="12">
        <v>4</v>
      </c>
      <c r="N1094" s="12">
        <v>2</v>
      </c>
      <c r="Q1094" s="23"/>
    </row>
    <row r="1095" spans="1:17">
      <c r="A1095" s="25">
        <v>46154</v>
      </c>
      <c r="B1095" s="29">
        <v>0.65972222222222221</v>
      </c>
      <c r="C1095" s="19">
        <v>46157</v>
      </c>
      <c r="D1095" s="24" t="str">
        <f t="shared" si="158"/>
        <v>XEB</v>
      </c>
      <c r="E1095" s="13" t="str">
        <f>VLOOKUP(D:D,工作表2!A:B,2,0)</f>
        <v>敦陽</v>
      </c>
      <c r="F1095" s="13" t="str">
        <f>VLOOKUP(D:D,工作表2!A:C,3,0)</f>
        <v>亮黑</v>
      </c>
      <c r="G1095" s="17">
        <v>10329846</v>
      </c>
      <c r="H1095" s="17" t="s">
        <v>913</v>
      </c>
      <c r="I1095" s="18" t="s">
        <v>917</v>
      </c>
      <c r="J1095" s="15">
        <v>70</v>
      </c>
      <c r="K1095" s="15">
        <v>8</v>
      </c>
      <c r="L1095" s="20">
        <f t="shared" si="159"/>
        <v>0.11428571428571428</v>
      </c>
      <c r="M1095" s="12">
        <v>5</v>
      </c>
      <c r="N1095" s="12">
        <v>3</v>
      </c>
      <c r="Q1095" s="23"/>
    </row>
    <row r="1096" spans="1:17">
      <c r="A1096" s="25">
        <v>46156</v>
      </c>
      <c r="B1096" s="29">
        <v>0.60486111111111118</v>
      </c>
      <c r="C1096" s="19">
        <v>46157</v>
      </c>
      <c r="D1096" s="24" t="str">
        <f t="shared" si="158"/>
        <v>XGA</v>
      </c>
      <c r="E1096" s="13" t="str">
        <f>VLOOKUP(D:D,工作表2!A:B,2,0)</f>
        <v>敦陽</v>
      </c>
      <c r="F1096" s="13" t="str">
        <f>VLOOKUP(D:D,工作表2!A:C,3,0)</f>
        <v>銀灰</v>
      </c>
      <c r="G1096" s="17">
        <v>10329848</v>
      </c>
      <c r="H1096" s="17" t="s">
        <v>911</v>
      </c>
      <c r="I1096" s="18" t="s">
        <v>915</v>
      </c>
      <c r="J1096" s="15">
        <v>70</v>
      </c>
      <c r="K1096" s="15">
        <v>7</v>
      </c>
      <c r="L1096" s="20">
        <f t="shared" si="159"/>
        <v>0.1</v>
      </c>
      <c r="M1096" s="12">
        <v>4</v>
      </c>
      <c r="N1096" s="12">
        <v>3</v>
      </c>
      <c r="Q1096" s="23"/>
    </row>
    <row r="1097" spans="1:17">
      <c r="A1097" s="25">
        <v>46155</v>
      </c>
      <c r="B1097" s="29">
        <v>0.55555555555555558</v>
      </c>
      <c r="C1097" s="19">
        <v>46157</v>
      </c>
      <c r="D1097" s="24" t="str">
        <f t="shared" si="158"/>
        <v>RCA</v>
      </c>
      <c r="E1097" s="13" t="str">
        <f>VLOOKUP(D:D,工作表2!A:B,2,0)</f>
        <v>邦善</v>
      </c>
      <c r="F1097" s="13" t="str">
        <f>VLOOKUP(D:D,工作表2!A:C,3,0)</f>
        <v>灰</v>
      </c>
      <c r="G1097" s="17">
        <v>10327558</v>
      </c>
      <c r="H1097" s="17" t="s">
        <v>978</v>
      </c>
      <c r="I1097" s="18" t="s">
        <v>979</v>
      </c>
      <c r="J1097" s="15">
        <v>480</v>
      </c>
      <c r="K1097" s="15">
        <v>11</v>
      </c>
      <c r="L1097" s="20">
        <f t="shared" si="159"/>
        <v>2.2916666666666665E-2</v>
      </c>
      <c r="M1097" s="12">
        <v>9</v>
      </c>
      <c r="N1097" s="12">
        <v>2</v>
      </c>
      <c r="Q1097" s="23" t="str">
        <f>VLOOKUP(H:H,'[1]雷雕處遮蔽&amp;艾仕得8844'!$A:$C,3,0)</f>
        <v>L</v>
      </c>
    </row>
    <row r="1098" spans="1:17">
      <c r="A1098" s="25">
        <v>46154</v>
      </c>
      <c r="B1098" s="29">
        <v>0.62916666666666665</v>
      </c>
      <c r="C1098" s="19">
        <v>46157</v>
      </c>
      <c r="D1098" s="24" t="str">
        <f t="shared" si="158"/>
        <v>RRA</v>
      </c>
      <c r="E1098" s="13" t="str">
        <f>VLOOKUP(D:D,工作表2!A:B,2,0)</f>
        <v>邦善</v>
      </c>
      <c r="F1098" s="13" t="str">
        <f>VLOOKUP(D:D,工作表2!A:C,3,0)</f>
        <v>灰</v>
      </c>
      <c r="G1098" s="17">
        <v>10327481</v>
      </c>
      <c r="H1098" s="17" t="s">
        <v>393</v>
      </c>
      <c r="I1098" s="18" t="s">
        <v>395</v>
      </c>
      <c r="J1098" s="15">
        <v>560</v>
      </c>
      <c r="K1098" s="15">
        <v>26</v>
      </c>
      <c r="L1098" s="20">
        <f t="shared" si="159"/>
        <v>4.642857142857143E-2</v>
      </c>
      <c r="M1098" s="12">
        <v>24</v>
      </c>
      <c r="N1098" s="12">
        <v>2</v>
      </c>
      <c r="Q1098" s="23"/>
    </row>
    <row r="1099" spans="1:17">
      <c r="A1099" s="25">
        <v>46155</v>
      </c>
      <c r="B1099" s="29">
        <v>0.56736111111111109</v>
      </c>
      <c r="C1099" s="19">
        <v>46157</v>
      </c>
      <c r="D1099" s="24" t="str">
        <f t="shared" si="158"/>
        <v>SYL</v>
      </c>
      <c r="E1099" s="13" t="str">
        <f>VLOOKUP(D:D,工作表2!A:B,2,0)</f>
        <v>邦善</v>
      </c>
      <c r="F1099" s="13" t="str">
        <f>VLOOKUP(D:D,工作表2!A:C,3,0)</f>
        <v>藍</v>
      </c>
      <c r="G1099" s="17">
        <v>10327573</v>
      </c>
      <c r="H1099" s="17" t="s">
        <v>594</v>
      </c>
      <c r="I1099" s="18" t="s">
        <v>602</v>
      </c>
      <c r="J1099" s="15">
        <v>480</v>
      </c>
      <c r="K1099" s="15">
        <v>27</v>
      </c>
      <c r="L1099" s="20">
        <f t="shared" si="159"/>
        <v>5.6250000000000001E-2</v>
      </c>
      <c r="M1099" s="12">
        <v>20</v>
      </c>
      <c r="N1099" s="12">
        <v>7</v>
      </c>
      <c r="Q1099" s="23"/>
    </row>
    <row r="1100" spans="1:17">
      <c r="A1100" s="25">
        <v>46155</v>
      </c>
      <c r="B1100" s="29">
        <v>0.58958333333333335</v>
      </c>
      <c r="C1100" s="19">
        <v>46157</v>
      </c>
      <c r="D1100" s="24" t="str">
        <f t="shared" si="158"/>
        <v>NRR</v>
      </c>
      <c r="E1100" s="13" t="str">
        <f>VLOOKUP(D:D,工作表2!A:B,2,0)</f>
        <v>邦善</v>
      </c>
      <c r="F1100" s="13" t="str">
        <f>VLOOKUP(D:D,工作表2!A:C,3,0)</f>
        <v>紅</v>
      </c>
      <c r="G1100" s="17">
        <v>10327570</v>
      </c>
      <c r="H1100" s="17" t="s">
        <v>1019</v>
      </c>
      <c r="I1100" s="18" t="s">
        <v>1021</v>
      </c>
      <c r="J1100" s="15">
        <v>340</v>
      </c>
      <c r="K1100" s="15">
        <v>17</v>
      </c>
      <c r="L1100" s="20">
        <f t="shared" si="159"/>
        <v>0.05</v>
      </c>
      <c r="M1100" s="12">
        <v>11</v>
      </c>
      <c r="N1100" s="12">
        <v>6</v>
      </c>
      <c r="Q1100" s="23" t="str">
        <f>VLOOKUP(H:H,'[1]雷雕處遮蔽&amp;艾仕得8844'!$A:$C,3,0)</f>
        <v>L</v>
      </c>
    </row>
    <row r="1101" spans="1:17">
      <c r="A1101" s="25">
        <v>46155</v>
      </c>
      <c r="B1101" s="29">
        <v>0.57986111111111105</v>
      </c>
      <c r="C1101" s="19">
        <v>46157</v>
      </c>
      <c r="D1101" s="24" t="str">
        <f t="shared" si="158"/>
        <v>SYL</v>
      </c>
      <c r="E1101" s="13" t="str">
        <f>VLOOKUP(D:D,工作表2!A:B,2,0)</f>
        <v>邦善</v>
      </c>
      <c r="F1101" s="13" t="str">
        <f>VLOOKUP(D:D,工作表2!A:C,3,0)</f>
        <v>藍</v>
      </c>
      <c r="G1101" s="17">
        <v>10327569</v>
      </c>
      <c r="H1101" s="17" t="s">
        <v>835</v>
      </c>
      <c r="I1101" s="18" t="s">
        <v>836</v>
      </c>
      <c r="J1101" s="15">
        <v>360</v>
      </c>
      <c r="K1101" s="15">
        <v>11</v>
      </c>
      <c r="L1101" s="20">
        <f t="shared" si="159"/>
        <v>3.0555555555555555E-2</v>
      </c>
      <c r="M1101" s="12">
        <v>8</v>
      </c>
      <c r="N1101" s="12">
        <v>3</v>
      </c>
      <c r="Q1101" s="23" t="str">
        <f>VLOOKUP(H:H,'[1]雷雕處遮蔽&amp;艾仕得8844'!$A:$C,3,0)</f>
        <v>L</v>
      </c>
    </row>
    <row r="1102" spans="1:17">
      <c r="A1102" s="25">
        <v>46154</v>
      </c>
      <c r="B1102" s="29">
        <v>0.6430555555555556</v>
      </c>
      <c r="C1102" s="19">
        <v>46157</v>
      </c>
      <c r="D1102" s="24" t="str">
        <f t="shared" si="158"/>
        <v>QFA</v>
      </c>
      <c r="E1102" s="13" t="str">
        <f>VLOOKUP(D:D,工作表2!A:B,2,0)</f>
        <v>邦善</v>
      </c>
      <c r="F1102" s="13" t="str">
        <f>VLOOKUP(D:D,工作表2!A:C,3,0)</f>
        <v>灰</v>
      </c>
      <c r="G1102" s="17">
        <v>10324820</v>
      </c>
      <c r="H1102" s="17" t="s">
        <v>752</v>
      </c>
      <c r="I1102" s="18" t="s">
        <v>755</v>
      </c>
      <c r="J1102" s="15">
        <v>480</v>
      </c>
      <c r="K1102" s="15">
        <v>18</v>
      </c>
      <c r="L1102" s="20">
        <f t="shared" si="159"/>
        <v>3.7499999999999999E-2</v>
      </c>
      <c r="M1102" s="12">
        <v>12</v>
      </c>
      <c r="N1102" s="12">
        <v>6</v>
      </c>
      <c r="Q1102" s="23"/>
    </row>
    <row r="1103" spans="1:17">
      <c r="A1103" s="25">
        <v>46153</v>
      </c>
      <c r="B1103" s="29">
        <v>0.54166666666666663</v>
      </c>
      <c r="C1103" s="19">
        <v>46157</v>
      </c>
      <c r="D1103" s="24" t="str">
        <f t="shared" si="158"/>
        <v>Q9B</v>
      </c>
      <c r="E1103" s="13" t="str">
        <f>VLOOKUP(D:D,工作表2!A:B,2,0)</f>
        <v>邦善</v>
      </c>
      <c r="F1103" s="13" t="str">
        <f>VLOOKUP(D:D,工作表2!A:C,3,0)</f>
        <v>黑</v>
      </c>
      <c r="G1103" s="17">
        <v>10327623</v>
      </c>
      <c r="H1103" s="17" t="s">
        <v>939</v>
      </c>
      <c r="I1103" s="18" t="s">
        <v>945</v>
      </c>
      <c r="J1103" s="15">
        <v>300</v>
      </c>
      <c r="K1103" s="15">
        <v>77</v>
      </c>
      <c r="L1103" s="20">
        <f t="shared" si="159"/>
        <v>0.25666666666666665</v>
      </c>
      <c r="M1103" s="12">
        <v>60</v>
      </c>
      <c r="N1103" s="12">
        <v>17</v>
      </c>
      <c r="P1103" s="32" t="s">
        <v>977</v>
      </c>
      <c r="Q1103" s="23" t="str">
        <f>VLOOKUP(H:H,'[1]雷雕處遮蔽&amp;艾仕得8844'!$A:$C,3,0)</f>
        <v>L</v>
      </c>
    </row>
    <row r="1104" spans="1:17">
      <c r="A1104" s="25">
        <v>46153</v>
      </c>
      <c r="B1104" s="29">
        <v>0.54166666666666663</v>
      </c>
      <c r="C1104" s="19">
        <v>46157</v>
      </c>
      <c r="D1104" s="24" t="str">
        <f t="shared" si="158"/>
        <v>Q9B</v>
      </c>
      <c r="E1104" s="13" t="str">
        <f>VLOOKUP(D:D,工作表2!A:B,2,0)</f>
        <v>邦善</v>
      </c>
      <c r="F1104" s="13" t="str">
        <f>VLOOKUP(D:D,工作表2!A:C,3,0)</f>
        <v>黑</v>
      </c>
      <c r="G1104" s="17">
        <v>10324822</v>
      </c>
      <c r="H1104" s="17" t="s">
        <v>939</v>
      </c>
      <c r="I1104" s="18" t="s">
        <v>945</v>
      </c>
      <c r="J1104" s="15">
        <v>700</v>
      </c>
      <c r="K1104" s="15">
        <v>178</v>
      </c>
      <c r="L1104" s="20">
        <f t="shared" si="159"/>
        <v>0.25428571428571428</v>
      </c>
      <c r="M1104" s="12">
        <v>150</v>
      </c>
      <c r="N1104" s="12">
        <v>28</v>
      </c>
      <c r="P1104" s="32" t="s">
        <v>1127</v>
      </c>
      <c r="Q1104" s="23" t="str">
        <f>VLOOKUP(H:H,'[1]雷雕處遮蔽&amp;艾仕得8844'!$A:$C,3,0)</f>
        <v>L</v>
      </c>
    </row>
    <row r="1105" spans="1:17">
      <c r="A1105" s="25">
        <v>46154</v>
      </c>
      <c r="B1105" s="29">
        <v>0.625</v>
      </c>
      <c r="C1105" s="19">
        <v>46157</v>
      </c>
      <c r="D1105" s="24" t="str">
        <f t="shared" si="158"/>
        <v>R6L</v>
      </c>
      <c r="E1105" s="13" t="str">
        <f>VLOOKUP(D:D,工作表2!A:B,2,0)</f>
        <v>邦善</v>
      </c>
      <c r="F1105" s="13" t="str">
        <f>VLOOKUP(D:D,工作表2!A:C,3,0)</f>
        <v>藍</v>
      </c>
      <c r="G1105" s="17">
        <v>10327580</v>
      </c>
      <c r="H1105" s="17" t="s">
        <v>1124</v>
      </c>
      <c r="I1105" s="18" t="s">
        <v>1125</v>
      </c>
      <c r="J1105" s="15">
        <v>250</v>
      </c>
      <c r="K1105" s="15">
        <v>17</v>
      </c>
      <c r="L1105" s="20">
        <f t="shared" si="159"/>
        <v>6.8000000000000005E-2</v>
      </c>
      <c r="M1105" s="12">
        <v>10</v>
      </c>
      <c r="N1105" s="12">
        <v>7</v>
      </c>
      <c r="Q1105" s="23" t="str">
        <f>VLOOKUP(H:H,'[1]雷雕處遮蔽&amp;艾仕得8844'!$A:$C,3,0)</f>
        <v>R</v>
      </c>
    </row>
    <row r="1106" spans="1:17">
      <c r="A1106" s="25">
        <v>46156</v>
      </c>
      <c r="B1106" s="29">
        <v>0.6020833333333333</v>
      </c>
      <c r="C1106" s="11">
        <v>46160</v>
      </c>
      <c r="D1106" s="24" t="str">
        <f t="shared" ref="D1106:D1130" si="160">RIGHT(I1106,3)</f>
        <v>J6L</v>
      </c>
      <c r="E1106" s="13" t="str">
        <f>VLOOKUP(D:D,工作表2!A:B,2,0)</f>
        <v>邦善</v>
      </c>
      <c r="F1106" s="13" t="str">
        <f>VLOOKUP(D:D,工作表2!A:C,3,0)</f>
        <v>藍</v>
      </c>
      <c r="G1106" s="17">
        <v>10328275</v>
      </c>
      <c r="H1106" s="17" t="s">
        <v>1131</v>
      </c>
      <c r="I1106" s="18" t="s">
        <v>1137</v>
      </c>
      <c r="J1106" s="15">
        <v>30</v>
      </c>
      <c r="K1106" s="15">
        <v>12</v>
      </c>
      <c r="L1106" s="20">
        <f t="shared" ref="L1106:L1130" si="161">K1106/J1106</f>
        <v>0.4</v>
      </c>
      <c r="M1106" s="12">
        <v>8</v>
      </c>
      <c r="N1106" s="12">
        <v>4</v>
      </c>
      <c r="Q1106" s="23"/>
    </row>
    <row r="1107" spans="1:17">
      <c r="A1107" s="25">
        <v>46156</v>
      </c>
      <c r="B1107" s="29">
        <v>0.60138888888888886</v>
      </c>
      <c r="C1107" s="11">
        <v>46160</v>
      </c>
      <c r="D1107" s="24" t="str">
        <f t="shared" si="160"/>
        <v>JCB</v>
      </c>
      <c r="E1107" s="13" t="str">
        <f>VLOOKUP(D:D,工作表2!A:B,2,0)</f>
        <v>邦善</v>
      </c>
      <c r="F1107" s="13" t="str">
        <f>VLOOKUP(D:D,工作表2!A:C,3,0)</f>
        <v>黑</v>
      </c>
      <c r="G1107" s="17">
        <v>10328269</v>
      </c>
      <c r="H1107" s="17" t="s">
        <v>821</v>
      </c>
      <c r="I1107" s="18" t="s">
        <v>830</v>
      </c>
      <c r="J1107" s="15">
        <v>160</v>
      </c>
      <c r="K1107" s="15">
        <v>10</v>
      </c>
      <c r="L1107" s="20">
        <f t="shared" si="161"/>
        <v>6.25E-2</v>
      </c>
      <c r="M1107" s="12">
        <v>8</v>
      </c>
      <c r="N1107" s="12">
        <v>2</v>
      </c>
      <c r="Q1107" s="23"/>
    </row>
    <row r="1108" spans="1:17">
      <c r="A1108" s="25">
        <v>46154</v>
      </c>
      <c r="B1108" s="29">
        <v>0.65625</v>
      </c>
      <c r="C1108" s="19">
        <v>46160</v>
      </c>
      <c r="D1108" s="24" t="str">
        <f t="shared" si="160"/>
        <v>RCA</v>
      </c>
      <c r="E1108" s="13" t="str">
        <f>VLOOKUP(D:D,工作表2!A:B,2,0)</f>
        <v>邦善</v>
      </c>
      <c r="F1108" s="13" t="str">
        <f>VLOOKUP(D:D,工作表2!A:C,3,0)</f>
        <v>灰</v>
      </c>
      <c r="G1108" s="17">
        <v>10327557</v>
      </c>
      <c r="H1108" s="17" t="s">
        <v>402</v>
      </c>
      <c r="I1108" s="18" t="s">
        <v>404</v>
      </c>
      <c r="J1108" s="15">
        <v>532</v>
      </c>
      <c r="K1108" s="15">
        <v>1</v>
      </c>
      <c r="L1108" s="20">
        <f t="shared" si="161"/>
        <v>1.8796992481203006E-3</v>
      </c>
      <c r="M1108" s="12">
        <v>1</v>
      </c>
      <c r="P1108" s="32" t="s">
        <v>1143</v>
      </c>
      <c r="Q1108" s="23"/>
    </row>
    <row r="1109" spans="1:17">
      <c r="A1109" s="25">
        <v>46157</v>
      </c>
      <c r="B1109" s="29">
        <v>0.4236111111111111</v>
      </c>
      <c r="C1109" s="19">
        <v>46160</v>
      </c>
      <c r="D1109" s="24" t="str">
        <f t="shared" si="160"/>
        <v>S3B</v>
      </c>
      <c r="E1109" s="13" t="str">
        <f>VLOOKUP(D:D,工作表2!A:B,2,0)</f>
        <v>邦善</v>
      </c>
      <c r="F1109" s="13" t="str">
        <f>VLOOKUP(D:D,工作表2!A:C,3,0)</f>
        <v>黑</v>
      </c>
      <c r="G1109" s="17">
        <v>10331362</v>
      </c>
      <c r="H1109" s="17" t="s">
        <v>375</v>
      </c>
      <c r="I1109" s="18" t="s">
        <v>379</v>
      </c>
      <c r="J1109" s="15">
        <v>18620</v>
      </c>
      <c r="K1109" s="15">
        <v>998</v>
      </c>
      <c r="L1109" s="20">
        <f t="shared" si="161"/>
        <v>5.3598281417830289E-2</v>
      </c>
      <c r="M1109" s="12">
        <v>800</v>
      </c>
      <c r="N1109" s="12">
        <v>198</v>
      </c>
      <c r="Q1109" s="23"/>
    </row>
    <row r="1110" spans="1:17">
      <c r="A1110" s="25">
        <v>46157</v>
      </c>
      <c r="B1110" s="29">
        <v>0.53263888888888888</v>
      </c>
      <c r="C1110" s="19">
        <v>46160</v>
      </c>
      <c r="D1110" s="24" t="str">
        <f t="shared" si="160"/>
        <v>SAA</v>
      </c>
      <c r="E1110" s="13" t="str">
        <f>VLOOKUP(D:D,工作表2!A:B,2,0)</f>
        <v>邦善</v>
      </c>
      <c r="F1110" s="13" t="str">
        <f>VLOOKUP(D:D,工作表2!A:C,3,0)</f>
        <v>灰</v>
      </c>
      <c r="G1110" s="17">
        <v>10331375</v>
      </c>
      <c r="H1110" s="17" t="s">
        <v>619</v>
      </c>
      <c r="I1110" s="18" t="s">
        <v>628</v>
      </c>
      <c r="J1110" s="15">
        <v>5852</v>
      </c>
      <c r="K1110" s="15">
        <v>209</v>
      </c>
      <c r="L1110" s="20">
        <f t="shared" si="161"/>
        <v>3.5714285714285712E-2</v>
      </c>
      <c r="M1110" s="12">
        <v>177</v>
      </c>
      <c r="N1110" s="12">
        <v>32</v>
      </c>
      <c r="Q1110" s="23"/>
    </row>
    <row r="1111" spans="1:17">
      <c r="A1111" s="25">
        <v>46157</v>
      </c>
      <c r="B1111" s="29">
        <v>0.55625000000000002</v>
      </c>
      <c r="C1111" s="19">
        <v>46160</v>
      </c>
      <c r="D1111" s="24" t="str">
        <f t="shared" si="160"/>
        <v>TUR</v>
      </c>
      <c r="E1111" s="13" t="str">
        <f>VLOOKUP(D:D,工作表2!A:B,2,0)</f>
        <v>邦善</v>
      </c>
      <c r="F1111" s="13" t="str">
        <f>VLOOKUP(D:D,工作表2!A:C,3,0)</f>
        <v>紅</v>
      </c>
      <c r="G1111" s="17">
        <v>10331374</v>
      </c>
      <c r="H1111" s="17" t="s">
        <v>611</v>
      </c>
      <c r="I1111" s="18" t="s">
        <v>621</v>
      </c>
      <c r="J1111" s="15">
        <v>1862</v>
      </c>
      <c r="K1111" s="15">
        <v>89</v>
      </c>
      <c r="L1111" s="20">
        <f t="shared" si="161"/>
        <v>4.7798066595059079E-2</v>
      </c>
      <c r="M1111" s="12">
        <v>66</v>
      </c>
      <c r="N1111" s="12">
        <v>23</v>
      </c>
      <c r="Q1111" s="23"/>
    </row>
    <row r="1112" spans="1:17">
      <c r="C1112" s="19">
        <v>46160</v>
      </c>
      <c r="D1112" s="24" t="str">
        <f t="shared" si="160"/>
        <v>XGA</v>
      </c>
      <c r="E1112" s="13" t="str">
        <f>VLOOKUP(D:D,工作表2!A:B,2,0)</f>
        <v>敦陽</v>
      </c>
      <c r="F1112" s="13" t="str">
        <f>VLOOKUP(D:D,工作表2!A:C,3,0)</f>
        <v>銀灰</v>
      </c>
      <c r="G1112" s="17">
        <v>10333565</v>
      </c>
      <c r="H1112" s="17" t="s">
        <v>910</v>
      </c>
      <c r="I1112" s="18" t="s">
        <v>914</v>
      </c>
      <c r="J1112" s="15">
        <v>40</v>
      </c>
      <c r="K1112" s="15">
        <v>3</v>
      </c>
      <c r="L1112" s="20">
        <f t="shared" si="161"/>
        <v>7.4999999999999997E-2</v>
      </c>
      <c r="M1112" s="12">
        <v>3</v>
      </c>
      <c r="Q1112" s="23"/>
    </row>
    <row r="1113" spans="1:17">
      <c r="A1113" s="25">
        <v>46157</v>
      </c>
      <c r="B1113" s="29">
        <v>0.57152777777777775</v>
      </c>
      <c r="C1113" s="19">
        <v>46160</v>
      </c>
      <c r="D1113" s="24" t="str">
        <f t="shared" si="160"/>
        <v>75W</v>
      </c>
      <c r="E1113" s="13" t="str">
        <f>VLOOKUP(D:D,工作表2!A:B,2,0)</f>
        <v>敦陽</v>
      </c>
      <c r="F1113" s="13" t="str">
        <f>VLOOKUP(D:D,工作表2!A:C,3,0)</f>
        <v>白</v>
      </c>
      <c r="G1113" s="17">
        <v>10333567</v>
      </c>
      <c r="H1113" s="17" t="s">
        <v>524</v>
      </c>
      <c r="I1113" s="18" t="s">
        <v>536</v>
      </c>
      <c r="J1113" s="15">
        <v>40</v>
      </c>
      <c r="K1113" s="15">
        <v>6</v>
      </c>
      <c r="L1113" s="20">
        <f t="shared" si="161"/>
        <v>0.15</v>
      </c>
      <c r="M1113" s="12">
        <v>4</v>
      </c>
      <c r="N1113" s="12">
        <v>2</v>
      </c>
      <c r="Q1113" s="23" t="str">
        <f>VLOOKUP(H:H,'[1]雷雕處遮蔽&amp;艾仕得8844'!$A:$C,3,0)</f>
        <v>23度頭蓋</v>
      </c>
    </row>
    <row r="1114" spans="1:17">
      <c r="A1114" s="25">
        <v>46156</v>
      </c>
      <c r="B1114" s="29">
        <v>0.59791666666666665</v>
      </c>
      <c r="C1114" s="19">
        <v>46160</v>
      </c>
      <c r="D1114" s="24" t="str">
        <f t="shared" si="160"/>
        <v>J6L</v>
      </c>
      <c r="E1114" s="13" t="str">
        <f>VLOOKUP(D:D,工作表2!A:B,2,0)</f>
        <v>邦善</v>
      </c>
      <c r="F1114" s="13" t="str">
        <f>VLOOKUP(D:D,工作表2!A:C,3,0)</f>
        <v>藍</v>
      </c>
      <c r="G1114" s="17">
        <v>10328291</v>
      </c>
      <c r="H1114" s="17" t="s">
        <v>1129</v>
      </c>
      <c r="I1114" s="18" t="s">
        <v>1135</v>
      </c>
      <c r="J1114" s="15">
        <v>60</v>
      </c>
      <c r="K1114" s="15">
        <v>13</v>
      </c>
      <c r="L1114" s="20">
        <f t="shared" si="161"/>
        <v>0.21666666666666667</v>
      </c>
      <c r="M1114" s="12">
        <v>8</v>
      </c>
      <c r="N1114" s="12">
        <v>5</v>
      </c>
      <c r="Q1114" s="23"/>
    </row>
    <row r="1115" spans="1:17">
      <c r="A1115" s="25">
        <v>46156</v>
      </c>
      <c r="B1115" s="29">
        <v>0.59861111111111109</v>
      </c>
      <c r="C1115" s="19">
        <v>46160</v>
      </c>
      <c r="D1115" s="24" t="str">
        <f t="shared" si="160"/>
        <v>J7G</v>
      </c>
      <c r="E1115" s="13" t="str">
        <f>VLOOKUP(D:D,工作表2!A:B,2,0)</f>
        <v>邦善</v>
      </c>
      <c r="F1115" s="13" t="str">
        <f>VLOOKUP(D:D,工作表2!A:C,3,0)</f>
        <v>綠</v>
      </c>
      <c r="G1115" s="17">
        <v>10328290</v>
      </c>
      <c r="H1115" s="17" t="s">
        <v>1128</v>
      </c>
      <c r="I1115" s="18" t="s">
        <v>1134</v>
      </c>
      <c r="J1115" s="15">
        <v>30</v>
      </c>
      <c r="K1115" s="15">
        <v>5</v>
      </c>
      <c r="L1115" s="20">
        <f t="shared" si="161"/>
        <v>0.16666666666666666</v>
      </c>
      <c r="M1115" s="12">
        <v>3</v>
      </c>
      <c r="N1115" s="12">
        <v>2</v>
      </c>
      <c r="Q1115" s="23"/>
    </row>
    <row r="1116" spans="1:17">
      <c r="A1116" s="25">
        <v>46155</v>
      </c>
      <c r="B1116" s="29">
        <v>0.59722222222222221</v>
      </c>
      <c r="C1116" s="19">
        <v>46160</v>
      </c>
      <c r="D1116" s="24" t="str">
        <f t="shared" si="160"/>
        <v>JCB</v>
      </c>
      <c r="E1116" s="13" t="str">
        <f>VLOOKUP(D:D,工作表2!A:B,2,0)</f>
        <v>邦善</v>
      </c>
      <c r="F1116" s="13" t="str">
        <f>VLOOKUP(D:D,工作表2!A:C,3,0)</f>
        <v>黑</v>
      </c>
      <c r="G1116" s="17">
        <v>10328288</v>
      </c>
      <c r="H1116" s="17" t="s">
        <v>1130</v>
      </c>
      <c r="I1116" s="18" t="s">
        <v>1136</v>
      </c>
      <c r="J1116" s="15">
        <v>60</v>
      </c>
      <c r="K1116" s="15">
        <v>11</v>
      </c>
      <c r="L1116" s="20">
        <f t="shared" si="161"/>
        <v>0.18333333333333332</v>
      </c>
      <c r="M1116" s="12">
        <v>6</v>
      </c>
      <c r="N1116" s="12">
        <v>5</v>
      </c>
      <c r="Q1116" s="23"/>
    </row>
    <row r="1117" spans="1:17">
      <c r="A1117" s="25">
        <v>46156</v>
      </c>
      <c r="B1117" s="29">
        <v>0.58958333333333335</v>
      </c>
      <c r="C1117" s="19">
        <v>46160</v>
      </c>
      <c r="D1117" s="24" t="str">
        <f t="shared" si="160"/>
        <v>RRA</v>
      </c>
      <c r="E1117" s="13" t="str">
        <f>VLOOKUP(D:D,工作表2!A:B,2,0)</f>
        <v>邦善</v>
      </c>
      <c r="F1117" s="13" t="str">
        <f>VLOOKUP(D:D,工作表2!A:C,3,0)</f>
        <v>灰</v>
      </c>
      <c r="G1117" s="17">
        <v>10327559</v>
      </c>
      <c r="H1117" s="17" t="s">
        <v>968</v>
      </c>
      <c r="I1117" s="18" t="s">
        <v>973</v>
      </c>
      <c r="J1117" s="15">
        <v>480</v>
      </c>
      <c r="K1117" s="15">
        <v>44</v>
      </c>
      <c r="L1117" s="20">
        <f t="shared" si="161"/>
        <v>9.166666666666666E-2</v>
      </c>
      <c r="M1117" s="12">
        <v>35</v>
      </c>
      <c r="N1117" s="12">
        <v>9</v>
      </c>
      <c r="Q1117" s="23" t="str">
        <f>VLOOKUP(H:H,'[1]雷雕處遮蔽&amp;艾仕得8844'!$A:$C,3,0)</f>
        <v>L</v>
      </c>
    </row>
    <row r="1118" spans="1:17">
      <c r="A1118" s="25">
        <v>46157</v>
      </c>
      <c r="B1118" s="29">
        <v>0.5708333333333333</v>
      </c>
      <c r="C1118" s="19">
        <v>46160</v>
      </c>
      <c r="D1118" s="24" t="str">
        <f t="shared" si="160"/>
        <v>RLR</v>
      </c>
      <c r="E1118" s="13" t="str">
        <f>VLOOKUP(D:D,工作表2!A:B,2,0)</f>
        <v>邦善</v>
      </c>
      <c r="F1118" s="13" t="str">
        <f>VLOOKUP(D:D,工作表2!A:C,3,0)</f>
        <v>紅</v>
      </c>
      <c r="G1118" s="17">
        <v>10332719</v>
      </c>
      <c r="H1118" s="17" t="s">
        <v>1106</v>
      </c>
      <c r="I1118" s="18" t="s">
        <v>1108</v>
      </c>
      <c r="J1118" s="15">
        <v>40</v>
      </c>
      <c r="K1118" s="15">
        <v>1</v>
      </c>
      <c r="L1118" s="20">
        <f t="shared" si="161"/>
        <v>2.5000000000000001E-2</v>
      </c>
      <c r="M1118" s="12">
        <v>1</v>
      </c>
      <c r="Q1118" s="23" t="str">
        <f>VLOOKUP(H:H,'[1]雷雕處遮蔽&amp;艾仕得8844'!$A:$C,3,0)</f>
        <v>L</v>
      </c>
    </row>
    <row r="1119" spans="1:17">
      <c r="A1119" s="25">
        <v>46156</v>
      </c>
      <c r="B1119" s="29">
        <v>0.60416666666666663</v>
      </c>
      <c r="C1119" s="19">
        <v>46160</v>
      </c>
      <c r="D1119" s="24" t="str">
        <f t="shared" si="160"/>
        <v>RRA</v>
      </c>
      <c r="E1119" s="13" t="str">
        <f>VLOOKUP(D:D,工作表2!A:B,2,0)</f>
        <v>邦善</v>
      </c>
      <c r="F1119" s="13" t="str">
        <f>VLOOKUP(D:D,工作表2!A:C,3,0)</f>
        <v>灰</v>
      </c>
      <c r="G1119" s="17">
        <v>10327572</v>
      </c>
      <c r="H1119" s="17" t="s">
        <v>393</v>
      </c>
      <c r="I1119" s="18" t="s">
        <v>395</v>
      </c>
      <c r="J1119" s="15">
        <v>400</v>
      </c>
      <c r="K1119" s="15">
        <v>20</v>
      </c>
      <c r="L1119" s="20">
        <f t="shared" si="161"/>
        <v>0.05</v>
      </c>
      <c r="M1119" s="12">
        <v>15</v>
      </c>
      <c r="N1119" s="12">
        <v>5</v>
      </c>
      <c r="Q1119" s="23"/>
    </row>
    <row r="1120" spans="1:17">
      <c r="A1120" s="25">
        <v>46157</v>
      </c>
      <c r="B1120" s="29">
        <v>0.58333333333333337</v>
      </c>
      <c r="C1120" s="19">
        <v>46160</v>
      </c>
      <c r="D1120" s="24" t="str">
        <f t="shared" si="160"/>
        <v>NGW</v>
      </c>
      <c r="E1120" s="13" t="str">
        <f>VLOOKUP(D:D,工作表2!A:B,2,0)</f>
        <v>邦善</v>
      </c>
      <c r="F1120" s="13" t="str">
        <f>VLOOKUP(D:D,工作表2!A:C,3,0)</f>
        <v>白</v>
      </c>
      <c r="G1120" s="17">
        <v>10333510</v>
      </c>
      <c r="H1120" s="17" t="s">
        <v>382</v>
      </c>
      <c r="I1120" s="18" t="s">
        <v>387</v>
      </c>
      <c r="J1120" s="15">
        <v>40</v>
      </c>
      <c r="K1120" s="15">
        <v>3</v>
      </c>
      <c r="L1120" s="20">
        <f t="shared" si="161"/>
        <v>7.4999999999999997E-2</v>
      </c>
      <c r="M1120" s="12">
        <v>2</v>
      </c>
      <c r="N1120" s="12">
        <v>1</v>
      </c>
      <c r="Q1120" s="23" t="str">
        <f>VLOOKUP(H:H,'[1]雷雕處遮蔽&amp;艾仕得8844'!$A:$C,3,0)</f>
        <v>R</v>
      </c>
    </row>
    <row r="1121" spans="1:18">
      <c r="A1121" s="25">
        <v>46156</v>
      </c>
      <c r="B1121" s="29">
        <v>0.61458333333333337</v>
      </c>
      <c r="C1121" s="19">
        <v>46160</v>
      </c>
      <c r="D1121" s="24" t="str">
        <f t="shared" si="160"/>
        <v>RRA</v>
      </c>
      <c r="E1121" s="13" t="str">
        <f>VLOOKUP(D:D,工作表2!A:B,2,0)</f>
        <v>邦善</v>
      </c>
      <c r="F1121" s="13" t="str">
        <f>VLOOKUP(D:D,工作表2!A:C,3,0)</f>
        <v>灰</v>
      </c>
      <c r="G1121" s="17">
        <v>10327578</v>
      </c>
      <c r="H1121" s="17" t="s">
        <v>458</v>
      </c>
      <c r="I1121" s="18" t="s">
        <v>459</v>
      </c>
      <c r="J1121" s="15">
        <v>480</v>
      </c>
      <c r="K1121" s="15">
        <v>36</v>
      </c>
      <c r="L1121" s="20">
        <f t="shared" si="161"/>
        <v>7.4999999999999997E-2</v>
      </c>
      <c r="M1121" s="12">
        <v>30</v>
      </c>
      <c r="N1121" s="12">
        <v>6</v>
      </c>
      <c r="Q1121" s="23"/>
    </row>
    <row r="1122" spans="1:18">
      <c r="A1122" s="25">
        <v>46154</v>
      </c>
      <c r="B1122" s="29">
        <v>0.60416666666666663</v>
      </c>
      <c r="C1122" s="19">
        <v>46160</v>
      </c>
      <c r="D1122" s="24" t="str">
        <f t="shared" si="160"/>
        <v>Q9B</v>
      </c>
      <c r="E1122" s="13" t="str">
        <f>VLOOKUP(D:D,工作表2!A:B,2,0)</f>
        <v>邦善</v>
      </c>
      <c r="F1122" s="13" t="str">
        <f>VLOOKUP(D:D,工作表2!A:C,3,0)</f>
        <v>黑</v>
      </c>
      <c r="G1122" s="17">
        <v>10327622</v>
      </c>
      <c r="H1122" s="17" t="s">
        <v>939</v>
      </c>
      <c r="I1122" s="18" t="s">
        <v>945</v>
      </c>
      <c r="J1122" s="15">
        <v>1000</v>
      </c>
      <c r="K1122" s="15">
        <v>246</v>
      </c>
      <c r="L1122" s="20">
        <f t="shared" si="161"/>
        <v>0.246</v>
      </c>
      <c r="M1122" s="12">
        <v>220</v>
      </c>
      <c r="N1122" s="12">
        <v>26</v>
      </c>
      <c r="P1122" s="32" t="s">
        <v>1141</v>
      </c>
      <c r="Q1122" s="23" t="str">
        <f>VLOOKUP(H:H,'[1]雷雕處遮蔽&amp;艾仕得8844'!$A:$C,3,0)</f>
        <v>L</v>
      </c>
    </row>
    <row r="1123" spans="1:18">
      <c r="A1123" s="25">
        <v>46156</v>
      </c>
      <c r="B1123" s="29">
        <v>0.37638888888888888</v>
      </c>
      <c r="C1123" s="19">
        <v>46160</v>
      </c>
      <c r="D1123" s="24" t="str">
        <f t="shared" si="160"/>
        <v>Q9B</v>
      </c>
      <c r="E1123" s="13" t="str">
        <f>VLOOKUP(D:D,工作表2!A:B,2,0)</f>
        <v>邦善</v>
      </c>
      <c r="F1123" s="13" t="str">
        <f>VLOOKUP(D:D,工作表2!A:C,3,0)</f>
        <v>黑</v>
      </c>
      <c r="G1123" s="17">
        <v>10324826</v>
      </c>
      <c r="H1123" s="17" t="s">
        <v>967</v>
      </c>
      <c r="I1123" s="18" t="s">
        <v>972</v>
      </c>
      <c r="J1123" s="15">
        <v>400</v>
      </c>
      <c r="K1123" s="15">
        <v>79</v>
      </c>
      <c r="L1123" s="20">
        <f t="shared" si="161"/>
        <v>0.19750000000000001</v>
      </c>
      <c r="M1123" s="12">
        <v>51</v>
      </c>
      <c r="N1123" s="12">
        <v>28</v>
      </c>
      <c r="P1123" s="32" t="s">
        <v>1140</v>
      </c>
      <c r="Q1123" s="23" t="str">
        <f>VLOOKUP(H:H,'[1]雷雕處遮蔽&amp;艾仕得8844'!$A:$C,3,0)</f>
        <v>R</v>
      </c>
    </row>
    <row r="1124" spans="1:18">
      <c r="A1124" s="25">
        <v>46156</v>
      </c>
      <c r="B1124" s="29">
        <v>0.39027777777777778</v>
      </c>
      <c r="C1124" s="19">
        <v>46160</v>
      </c>
      <c r="D1124" s="24" t="str">
        <f t="shared" si="160"/>
        <v>Q9B</v>
      </c>
      <c r="E1124" s="13" t="str">
        <f>VLOOKUP(D:D,工作表2!A:B,2,0)</f>
        <v>邦善</v>
      </c>
      <c r="F1124" s="13" t="str">
        <f>VLOOKUP(D:D,工作表2!A:C,3,0)</f>
        <v>黑</v>
      </c>
      <c r="G1124" s="17">
        <v>10327624</v>
      </c>
      <c r="H1124" s="17" t="s">
        <v>967</v>
      </c>
      <c r="I1124" s="18" t="s">
        <v>972</v>
      </c>
      <c r="J1124" s="15">
        <v>1000</v>
      </c>
      <c r="K1124" s="15">
        <v>203</v>
      </c>
      <c r="L1124" s="20">
        <f t="shared" si="161"/>
        <v>0.20300000000000001</v>
      </c>
      <c r="M1124" s="12">
        <v>119</v>
      </c>
      <c r="N1124" s="12">
        <v>84</v>
      </c>
      <c r="P1124" s="32" t="s">
        <v>1142</v>
      </c>
      <c r="Q1124" s="23" t="str">
        <f>VLOOKUP(H:H,'[1]雷雕處遮蔽&amp;艾仕得8844'!$A:$C,3,0)</f>
        <v>R</v>
      </c>
    </row>
    <row r="1125" spans="1:18">
      <c r="A1125" s="25">
        <v>46155</v>
      </c>
      <c r="B1125" s="29">
        <v>0.53194444444444444</v>
      </c>
      <c r="C1125" s="19">
        <v>46160</v>
      </c>
      <c r="D1125" s="24" t="str">
        <f t="shared" si="160"/>
        <v>Q9B</v>
      </c>
      <c r="E1125" s="13" t="str">
        <f>VLOOKUP(D:D,工作表2!A:B,2,0)</f>
        <v>邦善</v>
      </c>
      <c r="F1125" s="13" t="str">
        <f>VLOOKUP(D:D,工作表2!A:C,3,0)</f>
        <v>黑</v>
      </c>
      <c r="G1125" s="17">
        <v>10324825</v>
      </c>
      <c r="H1125" s="17" t="s">
        <v>967</v>
      </c>
      <c r="I1125" s="18" t="s">
        <v>972</v>
      </c>
      <c r="J1125" s="15">
        <v>1000</v>
      </c>
      <c r="K1125" s="15">
        <v>244</v>
      </c>
      <c r="L1125" s="20">
        <f t="shared" si="161"/>
        <v>0.24399999999999999</v>
      </c>
      <c r="M1125" s="12">
        <v>139</v>
      </c>
      <c r="N1125" s="12">
        <v>105</v>
      </c>
      <c r="P1125" s="32" t="s">
        <v>1145</v>
      </c>
      <c r="Q1125" s="23" t="str">
        <f>VLOOKUP(H:H,'[1]雷雕處遮蔽&amp;艾仕得8844'!$A:$C,3,0)</f>
        <v>R</v>
      </c>
    </row>
    <row r="1126" spans="1:18">
      <c r="A1126" s="25">
        <v>46156</v>
      </c>
      <c r="B1126" s="29">
        <v>0.57430555555555551</v>
      </c>
      <c r="C1126" s="19">
        <v>46160</v>
      </c>
      <c r="D1126" s="24" t="str">
        <f t="shared" si="160"/>
        <v>RRA</v>
      </c>
      <c r="E1126" s="13" t="str">
        <f>VLOOKUP(D:D,工作表2!A:B,2,0)</f>
        <v>邦善</v>
      </c>
      <c r="F1126" s="13" t="str">
        <f>VLOOKUP(D:D,工作表2!A:C,3,0)</f>
        <v>灰</v>
      </c>
      <c r="G1126" s="17">
        <v>10327579</v>
      </c>
      <c r="H1126" s="17" t="s">
        <v>833</v>
      </c>
      <c r="I1126" s="18" t="s">
        <v>834</v>
      </c>
      <c r="J1126" s="15">
        <v>480</v>
      </c>
      <c r="K1126" s="15">
        <v>29</v>
      </c>
      <c r="L1126" s="20">
        <f t="shared" si="161"/>
        <v>6.0416666666666667E-2</v>
      </c>
      <c r="M1126" s="12">
        <v>24</v>
      </c>
      <c r="N1126" s="12">
        <v>5</v>
      </c>
      <c r="Q1126" s="23" t="str">
        <f>VLOOKUP(H:H,'[1]雷雕處遮蔽&amp;艾仕得8844'!$A:$C,3,0)</f>
        <v>L</v>
      </c>
    </row>
    <row r="1127" spans="1:18">
      <c r="A1127" s="25">
        <v>46156</v>
      </c>
      <c r="B1127" s="29">
        <v>0.5625</v>
      </c>
      <c r="C1127" s="19">
        <v>46160</v>
      </c>
      <c r="D1127" s="24" t="str">
        <f t="shared" si="160"/>
        <v>RRA</v>
      </c>
      <c r="E1127" s="13" t="str">
        <f>VLOOKUP(D:D,工作表2!A:B,2,0)</f>
        <v>邦善</v>
      </c>
      <c r="F1127" s="13" t="str">
        <f>VLOOKUP(D:D,工作表2!A:C,3,0)</f>
        <v>灰</v>
      </c>
      <c r="G1127" s="17">
        <v>10327581</v>
      </c>
      <c r="H1127" s="17" t="s">
        <v>750</v>
      </c>
      <c r="I1127" s="18" t="s">
        <v>753</v>
      </c>
      <c r="J1127" s="15">
        <v>400</v>
      </c>
      <c r="K1127" s="15">
        <v>14</v>
      </c>
      <c r="L1127" s="20">
        <f t="shared" si="161"/>
        <v>3.5000000000000003E-2</v>
      </c>
      <c r="M1127" s="12">
        <v>12</v>
      </c>
      <c r="N1127" s="12">
        <v>2</v>
      </c>
      <c r="Q1127" s="23" t="str">
        <f>VLOOKUP(H:H,'[1]雷雕處遮蔽&amp;艾仕得8844'!$A:$C,3,0)</f>
        <v>R</v>
      </c>
    </row>
    <row r="1128" spans="1:18">
      <c r="A1128" s="25">
        <v>46154</v>
      </c>
      <c r="B1128" s="29">
        <v>0.5541666666666667</v>
      </c>
      <c r="C1128" s="19">
        <v>46160</v>
      </c>
      <c r="D1128" s="24" t="str">
        <f t="shared" si="160"/>
        <v>N8B</v>
      </c>
      <c r="E1128" s="13" t="str">
        <f>VLOOKUP(D:D,工作表2!A:B,2,0)</f>
        <v>邦善</v>
      </c>
      <c r="F1128" s="13" t="str">
        <f>VLOOKUP(D:D,工作表2!A:C,3,0)</f>
        <v>霧面黑</v>
      </c>
      <c r="G1128" s="17">
        <v>10327553</v>
      </c>
      <c r="H1128" s="17" t="s">
        <v>607</v>
      </c>
      <c r="I1128" s="18" t="s">
        <v>609</v>
      </c>
      <c r="J1128" s="15">
        <v>1206</v>
      </c>
      <c r="K1128" s="15">
        <v>211</v>
      </c>
      <c r="L1128" s="20">
        <f t="shared" si="161"/>
        <v>0.17495854063018243</v>
      </c>
      <c r="M1128" s="12">
        <v>136</v>
      </c>
      <c r="N1128" s="12">
        <v>61</v>
      </c>
      <c r="P1128" s="32" t="s">
        <v>1144</v>
      </c>
      <c r="Q1128" s="23" t="str">
        <f>VLOOKUP(H:H,'[1]雷雕處遮蔽&amp;艾仕得8844'!$A:$C,3,0)</f>
        <v>0度頭蓋</v>
      </c>
      <c r="R1128" s="15">
        <v>14</v>
      </c>
    </row>
    <row r="1129" spans="1:18">
      <c r="A1129" s="25">
        <v>46157</v>
      </c>
      <c r="B1129" s="29">
        <v>0.57222222222222219</v>
      </c>
      <c r="C1129" s="19">
        <v>46160</v>
      </c>
      <c r="D1129" s="24" t="str">
        <f t="shared" si="160"/>
        <v>JCB</v>
      </c>
      <c r="E1129" s="13" t="str">
        <f>VLOOKUP(D:D,工作表2!A:B,2,0)</f>
        <v>邦善</v>
      </c>
      <c r="F1129" s="13" t="str">
        <f>VLOOKUP(D:D,工作表2!A:C,3,0)</f>
        <v>黑</v>
      </c>
      <c r="G1129" s="17">
        <v>10328262</v>
      </c>
      <c r="H1129" s="17" t="s">
        <v>1133</v>
      </c>
      <c r="I1129" s="18" t="s">
        <v>1139</v>
      </c>
      <c r="J1129" s="15">
        <v>30</v>
      </c>
      <c r="K1129" s="15">
        <v>6</v>
      </c>
      <c r="L1129" s="20">
        <f t="shared" si="161"/>
        <v>0.2</v>
      </c>
      <c r="M1129" s="12">
        <v>4</v>
      </c>
      <c r="N1129" s="12">
        <v>2</v>
      </c>
      <c r="Q1129" s="23"/>
    </row>
    <row r="1130" spans="1:18">
      <c r="A1130" s="25">
        <v>46157</v>
      </c>
      <c r="B1130" s="29">
        <v>0.57222222222222219</v>
      </c>
      <c r="C1130" s="19">
        <v>46160</v>
      </c>
      <c r="D1130" s="24" t="str">
        <f t="shared" si="160"/>
        <v>JCB</v>
      </c>
      <c r="E1130" s="13" t="str">
        <f>VLOOKUP(D:D,工作表2!A:B,2,0)</f>
        <v>邦善</v>
      </c>
      <c r="F1130" s="13" t="str">
        <f>VLOOKUP(D:D,工作表2!A:C,3,0)</f>
        <v>黑</v>
      </c>
      <c r="G1130" s="17">
        <v>10328263</v>
      </c>
      <c r="H1130" s="17" t="s">
        <v>1132</v>
      </c>
      <c r="I1130" s="18" t="s">
        <v>1138</v>
      </c>
      <c r="J1130" s="15">
        <v>30</v>
      </c>
      <c r="K1130" s="15">
        <v>8</v>
      </c>
      <c r="L1130" s="20">
        <f t="shared" si="161"/>
        <v>0.26666666666666666</v>
      </c>
      <c r="M1130" s="12">
        <v>7</v>
      </c>
      <c r="N1130" s="12">
        <v>1</v>
      </c>
      <c r="Q1130" s="23"/>
    </row>
    <row r="1131" spans="1:18">
      <c r="A1131" s="25">
        <v>46160</v>
      </c>
      <c r="B1131" s="29">
        <v>0.59027777777777779</v>
      </c>
      <c r="C1131" s="11">
        <v>46161</v>
      </c>
      <c r="D1131" s="24" t="str">
        <f t="shared" ref="D1131:D1140" si="162">RIGHT(I1131,3)</f>
        <v>KFL</v>
      </c>
      <c r="E1131" s="13" t="str">
        <f>VLOOKUP(D:D,工作表2!A:B,2,0)</f>
        <v>邦善</v>
      </c>
      <c r="F1131" s="13" t="str">
        <f>VLOOKUP(D:D,工作表2!A:C,3,0)</f>
        <v>藍</v>
      </c>
      <c r="G1131" s="17">
        <v>10328278</v>
      </c>
      <c r="H1131" s="17" t="s">
        <v>1146</v>
      </c>
      <c r="I1131" s="18" t="s">
        <v>1147</v>
      </c>
      <c r="J1131" s="15">
        <v>50</v>
      </c>
      <c r="K1131" s="15">
        <v>9</v>
      </c>
      <c r="L1131" s="20">
        <f t="shared" ref="L1131:L1140" si="163">K1131/J1131</f>
        <v>0.18</v>
      </c>
      <c r="M1131" s="12">
        <v>5</v>
      </c>
      <c r="N1131" s="12">
        <v>4</v>
      </c>
      <c r="P1131" s="32" t="s">
        <v>1148</v>
      </c>
      <c r="Q1131" s="23"/>
    </row>
    <row r="1132" spans="1:18">
      <c r="A1132" s="25">
        <v>46160</v>
      </c>
      <c r="B1132" s="29">
        <v>0.37916666666666665</v>
      </c>
      <c r="C1132" s="11">
        <v>46161</v>
      </c>
      <c r="D1132" s="24" t="str">
        <f t="shared" si="162"/>
        <v>QRB</v>
      </c>
      <c r="E1132" s="13" t="str">
        <f>VLOOKUP(D:D,工作表2!A:B,2,0)</f>
        <v>邦善</v>
      </c>
      <c r="F1132" s="13" t="str">
        <f>VLOOKUP(D:D,工作表2!A:C,3,0)</f>
        <v>霧面黑</v>
      </c>
      <c r="G1132" s="17">
        <v>10331358</v>
      </c>
      <c r="H1132" s="17" t="s">
        <v>170</v>
      </c>
      <c r="I1132" s="18" t="s">
        <v>171</v>
      </c>
      <c r="J1132" s="15">
        <v>26600</v>
      </c>
      <c r="K1132" s="15">
        <v>682</v>
      </c>
      <c r="L1132" s="20">
        <f t="shared" si="163"/>
        <v>2.5639097744360902E-2</v>
      </c>
      <c r="M1132" s="12">
        <v>471</v>
      </c>
      <c r="N1132" s="12">
        <v>206</v>
      </c>
      <c r="O1132" s="15">
        <v>5</v>
      </c>
      <c r="Q1132" s="23"/>
    </row>
    <row r="1133" spans="1:18">
      <c r="A1133" s="25">
        <v>46160</v>
      </c>
      <c r="B1133" s="29">
        <v>0.5854166666666667</v>
      </c>
      <c r="C1133" s="19">
        <v>46161</v>
      </c>
      <c r="D1133" s="24" t="str">
        <f t="shared" si="162"/>
        <v>XEB</v>
      </c>
      <c r="E1133" s="13" t="str">
        <f>VLOOKUP(D:D,工作表2!A:B,2,0)</f>
        <v>敦陽</v>
      </c>
      <c r="F1133" s="13" t="str">
        <f>VLOOKUP(D:D,工作表2!A:C,3,0)</f>
        <v>亮黑</v>
      </c>
      <c r="G1133" s="17">
        <v>10332705</v>
      </c>
      <c r="H1133" s="17" t="s">
        <v>912</v>
      </c>
      <c r="I1133" s="18" t="s">
        <v>916</v>
      </c>
      <c r="J1133" s="15">
        <v>30</v>
      </c>
      <c r="K1133" s="15">
        <v>1</v>
      </c>
      <c r="L1133" s="20">
        <f t="shared" si="163"/>
        <v>3.3333333333333333E-2</v>
      </c>
      <c r="M1133" s="12">
        <v>1</v>
      </c>
      <c r="Q1133" s="23"/>
    </row>
    <row r="1134" spans="1:18">
      <c r="A1134" s="25">
        <v>46160</v>
      </c>
      <c r="B1134" s="29">
        <v>0.61319444444444449</v>
      </c>
      <c r="C1134" s="19">
        <v>46161</v>
      </c>
      <c r="D1134" s="24" t="str">
        <f t="shared" si="162"/>
        <v>NGW</v>
      </c>
      <c r="E1134" s="13" t="str">
        <f>VLOOKUP(D:D,工作表2!A:B,2,0)</f>
        <v>邦善</v>
      </c>
      <c r="F1134" s="13" t="str">
        <f>VLOOKUP(D:D,工作表2!A:C,3,0)</f>
        <v>白</v>
      </c>
      <c r="G1134" s="17">
        <v>10327542</v>
      </c>
      <c r="H1134" s="17" t="s">
        <v>543</v>
      </c>
      <c r="I1134" s="18" t="s">
        <v>554</v>
      </c>
      <c r="J1134" s="15">
        <v>798</v>
      </c>
      <c r="K1134" s="15">
        <v>46</v>
      </c>
      <c r="L1134" s="20">
        <f t="shared" si="163"/>
        <v>5.764411027568922E-2</v>
      </c>
      <c r="M1134" s="12">
        <v>31</v>
      </c>
      <c r="N1134" s="12">
        <v>15</v>
      </c>
      <c r="Q1134" s="23"/>
    </row>
    <row r="1135" spans="1:18">
      <c r="A1135" s="25">
        <v>46155</v>
      </c>
      <c r="B1135" s="29">
        <v>0.52083333333333337</v>
      </c>
      <c r="C1135" s="19">
        <v>46161</v>
      </c>
      <c r="D1135" s="24" t="str">
        <f t="shared" si="162"/>
        <v>N8B</v>
      </c>
      <c r="E1135" s="13" t="str">
        <f>VLOOKUP(D:D,工作表2!A:B,2,0)</f>
        <v>邦善</v>
      </c>
      <c r="F1135" s="13" t="str">
        <f>VLOOKUP(D:D,工作表2!A:C,3,0)</f>
        <v>霧面黑</v>
      </c>
      <c r="G1135" s="17">
        <v>10327601</v>
      </c>
      <c r="H1135" s="17" t="s">
        <v>893</v>
      </c>
      <c r="I1135" s="18" t="s">
        <v>900</v>
      </c>
      <c r="J1135" s="15">
        <v>480</v>
      </c>
      <c r="K1135" s="15">
        <v>39</v>
      </c>
      <c r="L1135" s="20">
        <f t="shared" si="163"/>
        <v>8.1250000000000003E-2</v>
      </c>
      <c r="M1135" s="12">
        <v>29</v>
      </c>
      <c r="N1135" s="12">
        <v>10</v>
      </c>
      <c r="Q1135" s="23" t="str">
        <f>VLOOKUP(H:H,'[1]雷雕處遮蔽&amp;艾仕得8844'!$A:$C,3,0)</f>
        <v>L</v>
      </c>
    </row>
    <row r="1136" spans="1:18">
      <c r="A1136" s="25">
        <v>46157</v>
      </c>
      <c r="B1136" s="29">
        <v>0.3840277777777778</v>
      </c>
      <c r="C1136" s="19">
        <v>46161</v>
      </c>
      <c r="D1136" s="24" t="str">
        <f t="shared" si="162"/>
        <v>N8B</v>
      </c>
      <c r="E1136" s="13" t="str">
        <f>VLOOKUP(D:D,工作表2!A:B,2,0)</f>
        <v>邦善</v>
      </c>
      <c r="F1136" s="13" t="str">
        <f>VLOOKUP(D:D,工作表2!A:C,3,0)</f>
        <v>霧面黑</v>
      </c>
      <c r="G1136" s="17">
        <v>10331445</v>
      </c>
      <c r="H1136" s="17" t="s">
        <v>894</v>
      </c>
      <c r="I1136" s="18" t="s">
        <v>901</v>
      </c>
      <c r="J1136" s="15">
        <v>320</v>
      </c>
      <c r="K1136" s="15">
        <v>19</v>
      </c>
      <c r="L1136" s="20">
        <f t="shared" si="163"/>
        <v>5.9374999999999997E-2</v>
      </c>
      <c r="M1136" s="12">
        <v>12</v>
      </c>
      <c r="N1136" s="12">
        <v>7</v>
      </c>
      <c r="Q1136" s="23" t="str">
        <f>VLOOKUP(H:H,'[1]雷雕處遮蔽&amp;艾仕得8844'!$A:$C,3,0)</f>
        <v>R</v>
      </c>
    </row>
    <row r="1137" spans="1:21">
      <c r="A1137" s="25">
        <v>46160</v>
      </c>
      <c r="B1137" s="29">
        <v>0.57222222222222219</v>
      </c>
      <c r="C1137" s="19">
        <v>46161</v>
      </c>
      <c r="D1137" s="24" t="str">
        <f t="shared" si="162"/>
        <v>Q9B</v>
      </c>
      <c r="E1137" s="13" t="str">
        <f>VLOOKUP(D:D,工作表2!A:B,2,0)</f>
        <v>邦善</v>
      </c>
      <c r="F1137" s="13" t="str">
        <f>VLOOKUP(D:D,工作表2!A:C,3,0)</f>
        <v>黑</v>
      </c>
      <c r="G1137" s="17">
        <v>10327564</v>
      </c>
      <c r="H1137" s="17" t="s">
        <v>1044</v>
      </c>
      <c r="I1137" s="18" t="s">
        <v>1049</v>
      </c>
      <c r="J1137" s="15">
        <v>490</v>
      </c>
      <c r="K1137" s="15">
        <v>33</v>
      </c>
      <c r="L1137" s="20">
        <f t="shared" si="163"/>
        <v>6.7346938775510207E-2</v>
      </c>
      <c r="M1137" s="12">
        <v>30</v>
      </c>
      <c r="N1137" s="12">
        <v>3</v>
      </c>
      <c r="Q1137" s="23" t="str">
        <f>VLOOKUP(H:H,'[1]雷雕處遮蔽&amp;艾仕得8844'!$A:$C,3,0)</f>
        <v>L</v>
      </c>
    </row>
    <row r="1138" spans="1:21">
      <c r="A1138" s="25">
        <v>46157</v>
      </c>
      <c r="B1138" s="29">
        <v>0.60555555555555551</v>
      </c>
      <c r="C1138" s="19">
        <v>46161</v>
      </c>
      <c r="D1138" s="24" t="str">
        <f t="shared" si="162"/>
        <v>QFA</v>
      </c>
      <c r="E1138" s="13" t="str">
        <f>VLOOKUP(D:D,工作表2!A:B,2,0)</f>
        <v>邦善</v>
      </c>
      <c r="F1138" s="13" t="str">
        <f>VLOOKUP(D:D,工作表2!A:C,3,0)</f>
        <v>灰</v>
      </c>
      <c r="G1138" s="17">
        <v>10327575</v>
      </c>
      <c r="H1138" s="17" t="s">
        <v>630</v>
      </c>
      <c r="I1138" s="18" t="s">
        <v>636</v>
      </c>
      <c r="J1138" s="15">
        <v>520</v>
      </c>
      <c r="K1138" s="15">
        <v>9</v>
      </c>
      <c r="L1138" s="20">
        <f t="shared" si="163"/>
        <v>1.7307692307692309E-2</v>
      </c>
      <c r="M1138" s="12">
        <v>6</v>
      </c>
      <c r="N1138" s="12">
        <v>3</v>
      </c>
      <c r="Q1138" s="23"/>
    </row>
    <row r="1139" spans="1:21">
      <c r="A1139" s="25">
        <v>46157</v>
      </c>
      <c r="B1139" s="29">
        <v>0.58472222222222225</v>
      </c>
      <c r="C1139" s="19">
        <v>46161</v>
      </c>
      <c r="D1139" s="24" t="str">
        <f t="shared" si="162"/>
        <v>QFA</v>
      </c>
      <c r="E1139" s="13" t="str">
        <f>VLOOKUP(D:D,工作表2!A:B,2,0)</f>
        <v>邦善</v>
      </c>
      <c r="F1139" s="13" t="str">
        <f>VLOOKUP(D:D,工作表2!A:C,3,0)</f>
        <v>灰</v>
      </c>
      <c r="G1139" s="17">
        <v>10327577</v>
      </c>
      <c r="H1139" s="17" t="s">
        <v>752</v>
      </c>
      <c r="I1139" s="18" t="s">
        <v>755</v>
      </c>
      <c r="J1139" s="15">
        <v>560</v>
      </c>
      <c r="K1139" s="15">
        <v>13</v>
      </c>
      <c r="L1139" s="20">
        <f t="shared" si="163"/>
        <v>2.3214285714285715E-2</v>
      </c>
      <c r="M1139" s="12">
        <v>10</v>
      </c>
      <c r="N1139" s="12">
        <v>3</v>
      </c>
      <c r="Q1139" s="23"/>
    </row>
    <row r="1140" spans="1:21">
      <c r="A1140" s="25">
        <v>46157</v>
      </c>
      <c r="B1140" s="29">
        <v>0.40277777777777773</v>
      </c>
      <c r="C1140" s="19">
        <v>46161</v>
      </c>
      <c r="D1140" s="24" t="str">
        <f t="shared" si="162"/>
        <v>Q9B</v>
      </c>
      <c r="E1140" s="13" t="str">
        <f>VLOOKUP(D:D,工作表2!A:B,2,0)</f>
        <v>邦善</v>
      </c>
      <c r="F1140" s="13" t="str">
        <f>VLOOKUP(D:D,工作表2!A:C,3,0)</f>
        <v>黑</v>
      </c>
      <c r="G1140" s="17">
        <v>10327625</v>
      </c>
      <c r="H1140" s="17" t="s">
        <v>967</v>
      </c>
      <c r="I1140" s="18" t="s">
        <v>972</v>
      </c>
      <c r="J1140" s="15">
        <v>1000</v>
      </c>
      <c r="K1140" s="15">
        <v>260</v>
      </c>
      <c r="L1140" s="20">
        <f t="shared" si="163"/>
        <v>0.26</v>
      </c>
      <c r="M1140" s="12">
        <v>180</v>
      </c>
      <c r="N1140" s="12">
        <v>80</v>
      </c>
      <c r="P1140" s="32" t="s">
        <v>1149</v>
      </c>
      <c r="Q1140" s="23" t="str">
        <f>VLOOKUP(H:H,'[1]雷雕處遮蔽&amp;艾仕得8844'!$A:$C,3,0)</f>
        <v>R</v>
      </c>
    </row>
    <row r="1141" spans="1:21">
      <c r="A1141" s="25">
        <v>46160</v>
      </c>
      <c r="B1141" s="29">
        <v>0.59652777777777777</v>
      </c>
      <c r="C1141" s="11">
        <v>46162</v>
      </c>
      <c r="D1141" s="24" t="str">
        <f t="shared" ref="D1141:D1156" si="164">RIGHT(I1141,3)</f>
        <v>L3B</v>
      </c>
      <c r="E1141" s="13" t="str">
        <f>VLOOKUP(D:D,工作表2!A:B,2,0)</f>
        <v>邦善</v>
      </c>
      <c r="F1141" s="13" t="str">
        <f>VLOOKUP(D:D,工作表2!A:C,3,0)</f>
        <v>黑</v>
      </c>
      <c r="G1141" s="17">
        <v>10328266</v>
      </c>
      <c r="H1141" s="17" t="s">
        <v>649</v>
      </c>
      <c r="I1141" s="18" t="s">
        <v>659</v>
      </c>
      <c r="J1141" s="15">
        <v>80</v>
      </c>
      <c r="K1141" s="15">
        <v>32</v>
      </c>
      <c r="L1141" s="20">
        <f t="shared" ref="L1141:L1171" si="165">K1141/J1141</f>
        <v>0.4</v>
      </c>
      <c r="M1141" s="12">
        <v>5</v>
      </c>
      <c r="N1141" s="12">
        <v>2</v>
      </c>
      <c r="P1141" s="32" t="s">
        <v>1155</v>
      </c>
      <c r="Q1141" s="23"/>
      <c r="U1141" s="12">
        <v>25</v>
      </c>
    </row>
    <row r="1142" spans="1:21">
      <c r="A1142" s="25">
        <v>46160</v>
      </c>
      <c r="B1142" s="29">
        <v>0.59375</v>
      </c>
      <c r="C1142" s="11">
        <v>46162</v>
      </c>
      <c r="D1142" s="24" t="str">
        <f t="shared" si="164"/>
        <v>L9G</v>
      </c>
      <c r="E1142" s="13" t="str">
        <f>VLOOKUP(D:D,工作表2!A:B,2,0)</f>
        <v>邦善</v>
      </c>
      <c r="F1142" s="13" t="str">
        <f>VLOOKUP(D:D,工作表2!A:C,3,0)</f>
        <v>綠</v>
      </c>
      <c r="G1142" s="17">
        <v>10328271</v>
      </c>
      <c r="H1142" s="17" t="s">
        <v>820</v>
      </c>
      <c r="I1142" s="18" t="s">
        <v>829</v>
      </c>
      <c r="J1142" s="15">
        <v>30</v>
      </c>
      <c r="K1142" s="15">
        <v>5</v>
      </c>
      <c r="L1142" s="20">
        <f t="shared" si="165"/>
        <v>0.16666666666666666</v>
      </c>
      <c r="M1142" s="12">
        <v>5</v>
      </c>
      <c r="Q1142" s="23"/>
    </row>
    <row r="1143" spans="1:21">
      <c r="A1143" s="25">
        <v>46160</v>
      </c>
      <c r="B1143" s="29">
        <v>0.59722222222222221</v>
      </c>
      <c r="C1143" s="19">
        <v>46162</v>
      </c>
      <c r="D1143" s="24" t="str">
        <f t="shared" si="164"/>
        <v>LBA</v>
      </c>
      <c r="E1143" s="13" t="str">
        <f>VLOOKUP(D:D,工作表2!A:B,2,0)</f>
        <v>邦善</v>
      </c>
      <c r="F1143" s="13" t="str">
        <f>VLOOKUP(D:D,工作表2!A:C,3,0)</f>
        <v>灰</v>
      </c>
      <c r="G1143" s="17">
        <v>10328272</v>
      </c>
      <c r="H1143" s="17" t="s">
        <v>1150</v>
      </c>
      <c r="I1143" s="18" t="s">
        <v>1151</v>
      </c>
      <c r="J1143" s="15">
        <v>40</v>
      </c>
      <c r="K1143" s="15">
        <v>8</v>
      </c>
      <c r="L1143" s="20">
        <f t="shared" si="165"/>
        <v>0.2</v>
      </c>
      <c r="M1143" s="12">
        <v>6</v>
      </c>
      <c r="N1143" s="12">
        <v>2</v>
      </c>
      <c r="Q1143" s="23"/>
    </row>
    <row r="1144" spans="1:21">
      <c r="A1144" s="25">
        <v>46156</v>
      </c>
      <c r="B1144" s="29">
        <v>0.40972222222222227</v>
      </c>
      <c r="C1144" s="19">
        <v>46162</v>
      </c>
      <c r="D1144" s="24" t="str">
        <f t="shared" si="164"/>
        <v>42W</v>
      </c>
      <c r="E1144" s="13" t="str">
        <f>VLOOKUP(D:D,工作表2!A:B,2,0)</f>
        <v>敦陽</v>
      </c>
      <c r="F1144" s="13" t="str">
        <f>VLOOKUP(D:D,工作表2!A:C,3,0)</f>
        <v>白</v>
      </c>
      <c r="G1144" s="17">
        <v>10328251</v>
      </c>
      <c r="H1144" s="17" t="s">
        <v>756</v>
      </c>
      <c r="I1144" s="18" t="s">
        <v>761</v>
      </c>
      <c r="J1144" s="15">
        <v>1596</v>
      </c>
      <c r="K1144" s="15">
        <v>15</v>
      </c>
      <c r="L1144" s="20">
        <f t="shared" si="165"/>
        <v>9.3984962406015032E-3</v>
      </c>
      <c r="M1144" s="12">
        <v>10</v>
      </c>
      <c r="N1144" s="12">
        <v>5</v>
      </c>
      <c r="P1144" s="32" t="s">
        <v>1154</v>
      </c>
      <c r="Q1144" s="23"/>
    </row>
    <row r="1145" spans="1:21">
      <c r="A1145" s="25">
        <v>46160</v>
      </c>
      <c r="B1145" s="29">
        <v>0.5229166666666667</v>
      </c>
      <c r="C1145" s="19">
        <v>46162</v>
      </c>
      <c r="D1145" s="24" t="str">
        <f t="shared" si="164"/>
        <v>NBB</v>
      </c>
      <c r="E1145" s="13" t="str">
        <f>VLOOKUP(D:D,工作表2!A:B,2,0)</f>
        <v>邦善</v>
      </c>
      <c r="F1145" s="13" t="str">
        <f>VLOOKUP(D:D,工作表2!A:C,3,0)</f>
        <v>霧面黑</v>
      </c>
      <c r="G1145" s="17">
        <v>10327598</v>
      </c>
      <c r="H1145" s="17" t="s">
        <v>369</v>
      </c>
      <c r="I1145" s="18" t="s">
        <v>371</v>
      </c>
      <c r="J1145" s="15">
        <v>1596</v>
      </c>
      <c r="K1145" s="15">
        <v>17</v>
      </c>
      <c r="L1145" s="20">
        <f t="shared" si="165"/>
        <v>1.0651629072681704E-2</v>
      </c>
      <c r="M1145" s="12">
        <v>15</v>
      </c>
      <c r="N1145" s="12">
        <v>2</v>
      </c>
      <c r="Q1145" s="23"/>
    </row>
    <row r="1146" spans="1:21">
      <c r="A1146" s="25">
        <v>46156</v>
      </c>
      <c r="B1146" s="29">
        <v>0.55763888888888891</v>
      </c>
      <c r="C1146" s="19">
        <v>46162</v>
      </c>
      <c r="D1146" s="24" t="str">
        <f t="shared" si="164"/>
        <v>RRA</v>
      </c>
      <c r="E1146" s="13" t="str">
        <f>VLOOKUP(D:D,工作表2!A:B,2,0)</f>
        <v>邦善</v>
      </c>
      <c r="F1146" s="13" t="str">
        <f>VLOOKUP(D:D,工作表2!A:C,3,0)</f>
        <v>灰</v>
      </c>
      <c r="G1146" s="17">
        <v>10327599</v>
      </c>
      <c r="H1146" s="17" t="s">
        <v>544</v>
      </c>
      <c r="I1146" s="18" t="s">
        <v>555</v>
      </c>
      <c r="J1146" s="15">
        <v>532</v>
      </c>
      <c r="K1146" s="15">
        <v>52</v>
      </c>
      <c r="L1146" s="20">
        <f t="shared" si="165"/>
        <v>9.7744360902255634E-2</v>
      </c>
      <c r="M1146" s="12">
        <v>40</v>
      </c>
      <c r="N1146" s="12">
        <v>12</v>
      </c>
      <c r="Q1146" s="23"/>
    </row>
    <row r="1147" spans="1:21">
      <c r="A1147" s="25">
        <v>46141</v>
      </c>
      <c r="B1147" s="29">
        <v>0.625</v>
      </c>
      <c r="C1147" s="19">
        <v>46162</v>
      </c>
      <c r="D1147" s="24" t="str">
        <f t="shared" si="164"/>
        <v>VEA</v>
      </c>
      <c r="E1147" s="13" t="str">
        <f>VLOOKUP(D:D,工作表2!A:B,2,0)</f>
        <v>敦陽</v>
      </c>
      <c r="F1147" s="13" t="str">
        <f>VLOOKUP(D:D,工作表2!A:C,3,0)</f>
        <v>灰</v>
      </c>
      <c r="G1147" s="17">
        <v>10328224</v>
      </c>
      <c r="H1147" s="17" t="s">
        <v>757</v>
      </c>
      <c r="I1147" s="18" t="s">
        <v>762</v>
      </c>
      <c r="J1147" s="15">
        <v>1596</v>
      </c>
      <c r="K1147" s="15">
        <v>15</v>
      </c>
      <c r="L1147" s="20">
        <f t="shared" si="165"/>
        <v>9.3984962406015032E-3</v>
      </c>
      <c r="M1147" s="12">
        <v>10</v>
      </c>
      <c r="N1147" s="12">
        <v>5</v>
      </c>
      <c r="P1147" s="32" t="s">
        <v>1154</v>
      </c>
      <c r="Q1147" s="23"/>
    </row>
    <row r="1148" spans="1:21">
      <c r="A1148" s="25">
        <v>46161</v>
      </c>
      <c r="B1148" s="29">
        <v>0.62291666666666667</v>
      </c>
      <c r="C1148" s="19">
        <v>46162</v>
      </c>
      <c r="D1148" s="24" t="str">
        <f t="shared" si="164"/>
        <v>VEA</v>
      </c>
      <c r="E1148" s="13" t="str">
        <f>VLOOKUP(D:D,工作表2!A:B,2,0)</f>
        <v>敦陽</v>
      </c>
      <c r="F1148" s="13" t="str">
        <f>VLOOKUP(D:D,工作表2!A:C,3,0)</f>
        <v>灰</v>
      </c>
      <c r="G1148" s="17">
        <v>10333777</v>
      </c>
      <c r="H1148" s="17" t="s">
        <v>757</v>
      </c>
      <c r="I1148" s="18" t="s">
        <v>762</v>
      </c>
      <c r="J1148" s="15">
        <v>266</v>
      </c>
      <c r="K1148" s="15">
        <v>26</v>
      </c>
      <c r="L1148" s="20">
        <f t="shared" si="165"/>
        <v>9.7744360902255634E-2</v>
      </c>
      <c r="M1148" s="12">
        <v>20</v>
      </c>
      <c r="N1148" s="12">
        <v>6</v>
      </c>
      <c r="P1148" s="32" t="s">
        <v>1154</v>
      </c>
      <c r="Q1148" s="23"/>
    </row>
    <row r="1149" spans="1:21">
      <c r="A1149" s="25">
        <v>46148</v>
      </c>
      <c r="B1149" s="29">
        <v>0.53472222222222221</v>
      </c>
      <c r="C1149" s="19">
        <v>46162</v>
      </c>
      <c r="D1149" s="24" t="str">
        <f t="shared" si="164"/>
        <v>VGA</v>
      </c>
      <c r="E1149" s="13" t="str">
        <f>VLOOKUP(D:D,工作表2!A:B,2,0)</f>
        <v>邦善</v>
      </c>
      <c r="F1149" s="13" t="str">
        <f>VLOOKUP(D:D,工作表2!A:C,3,0)</f>
        <v>灰</v>
      </c>
      <c r="G1149" s="17">
        <v>10328237</v>
      </c>
      <c r="H1149" s="17" t="s">
        <v>985</v>
      </c>
      <c r="I1149" s="18" t="s">
        <v>988</v>
      </c>
      <c r="J1149" s="15">
        <v>1330</v>
      </c>
      <c r="K1149" s="15">
        <v>33</v>
      </c>
      <c r="L1149" s="20">
        <f t="shared" si="165"/>
        <v>2.4812030075187969E-2</v>
      </c>
      <c r="M1149" s="12">
        <v>25</v>
      </c>
      <c r="N1149" s="12">
        <v>8</v>
      </c>
      <c r="P1149" s="32" t="s">
        <v>1154</v>
      </c>
      <c r="Q1149" s="23"/>
    </row>
    <row r="1150" spans="1:21">
      <c r="A1150" s="25">
        <v>46156</v>
      </c>
      <c r="B1150" s="29">
        <v>0.53125</v>
      </c>
      <c r="C1150" s="19">
        <v>46162</v>
      </c>
      <c r="D1150" s="24" t="str">
        <f t="shared" si="164"/>
        <v>VGA</v>
      </c>
      <c r="E1150" s="13" t="str">
        <f>VLOOKUP(D:D,工作表2!A:B,2,0)</f>
        <v>邦善</v>
      </c>
      <c r="F1150" s="13" t="str">
        <f>VLOOKUP(D:D,工作表2!A:C,3,0)</f>
        <v>灰</v>
      </c>
      <c r="G1150" s="17">
        <v>10328260</v>
      </c>
      <c r="H1150" s="17" t="s">
        <v>985</v>
      </c>
      <c r="I1150" s="18" t="s">
        <v>988</v>
      </c>
      <c r="J1150" s="15">
        <v>798</v>
      </c>
      <c r="K1150" s="15">
        <v>38</v>
      </c>
      <c r="L1150" s="20">
        <f t="shared" si="165"/>
        <v>4.7619047619047616E-2</v>
      </c>
      <c r="M1150" s="12">
        <v>25</v>
      </c>
      <c r="N1150" s="12">
        <v>13</v>
      </c>
      <c r="P1150" s="32" t="s">
        <v>1154</v>
      </c>
      <c r="Q1150" s="23"/>
    </row>
    <row r="1151" spans="1:21">
      <c r="A1151" s="25">
        <v>46161</v>
      </c>
      <c r="B1151" s="29">
        <v>0.38194444444444442</v>
      </c>
      <c r="C1151" s="19">
        <v>46162</v>
      </c>
      <c r="D1151" s="24" t="str">
        <f t="shared" si="164"/>
        <v>QRB</v>
      </c>
      <c r="E1151" s="13" t="str">
        <f>VLOOKUP(D:D,工作表2!A:B,2,0)</f>
        <v>邦善</v>
      </c>
      <c r="F1151" s="13" t="str">
        <f>VLOOKUP(D:D,工作表2!A:C,3,0)</f>
        <v>霧面黑</v>
      </c>
      <c r="G1151" s="17">
        <v>10331359</v>
      </c>
      <c r="H1151" s="17" t="s">
        <v>170</v>
      </c>
      <c r="I1151" s="18" t="s">
        <v>171</v>
      </c>
      <c r="J1151" s="15">
        <v>26600</v>
      </c>
      <c r="K1151" s="15">
        <v>836</v>
      </c>
      <c r="L1151" s="20">
        <f t="shared" si="165"/>
        <v>3.1428571428571431E-2</v>
      </c>
      <c r="M1151" s="12">
        <v>745</v>
      </c>
      <c r="N1151" s="12">
        <v>89</v>
      </c>
      <c r="O1151" s="15">
        <v>2</v>
      </c>
      <c r="Q1151" s="23"/>
    </row>
    <row r="1152" spans="1:21">
      <c r="A1152" s="25">
        <v>46161</v>
      </c>
      <c r="B1152" s="29">
        <v>0.62222222222222223</v>
      </c>
      <c r="C1152" s="19">
        <v>46162</v>
      </c>
      <c r="D1152" s="24" t="str">
        <f t="shared" si="164"/>
        <v>XFW</v>
      </c>
      <c r="E1152" s="13" t="str">
        <f>VLOOKUP(D:D,工作表2!A:B,2,0)</f>
        <v>敦陽</v>
      </c>
      <c r="F1152" s="13" t="str">
        <f>VLOOKUP(D:D,工作表2!A:C,3,0)</f>
        <v>白</v>
      </c>
      <c r="G1152" s="17">
        <v>10332706</v>
      </c>
      <c r="H1152" s="17" t="s">
        <v>791</v>
      </c>
      <c r="I1152" s="18" t="s">
        <v>797</v>
      </c>
      <c r="J1152" s="15">
        <v>60</v>
      </c>
      <c r="K1152" s="15">
        <v>5</v>
      </c>
      <c r="L1152" s="20">
        <f t="shared" si="165"/>
        <v>8.3333333333333329E-2</v>
      </c>
      <c r="M1152" s="12">
        <v>3</v>
      </c>
      <c r="N1152" s="12">
        <v>2</v>
      </c>
      <c r="Q1152" s="23"/>
    </row>
    <row r="1153" spans="1:21">
      <c r="A1153" s="25">
        <v>46161</v>
      </c>
      <c r="B1153" s="29">
        <v>0.62222222222222223</v>
      </c>
      <c r="C1153" s="19">
        <v>46162</v>
      </c>
      <c r="D1153" s="24" t="str">
        <f t="shared" si="164"/>
        <v>XFW</v>
      </c>
      <c r="E1153" s="13" t="str">
        <f>VLOOKUP(D:D,工作表2!A:B,2,0)</f>
        <v>敦陽</v>
      </c>
      <c r="F1153" s="13" t="str">
        <f>VLOOKUP(D:D,工作表2!A:C,3,0)</f>
        <v>白</v>
      </c>
      <c r="G1153" s="17">
        <v>10329847</v>
      </c>
      <c r="H1153" s="17" t="s">
        <v>791</v>
      </c>
      <c r="I1153" s="18" t="s">
        <v>797</v>
      </c>
      <c r="J1153" s="15">
        <v>80</v>
      </c>
      <c r="K1153" s="15">
        <v>5</v>
      </c>
      <c r="L1153" s="20">
        <f t="shared" si="165"/>
        <v>6.25E-2</v>
      </c>
      <c r="M1153" s="12">
        <v>4</v>
      </c>
      <c r="N1153" s="12">
        <v>1</v>
      </c>
      <c r="Q1153" s="23"/>
    </row>
    <row r="1154" spans="1:21">
      <c r="A1154" s="25">
        <v>46157</v>
      </c>
      <c r="B1154" s="29">
        <v>0.39027777777777778</v>
      </c>
      <c r="C1154" s="19">
        <v>46162</v>
      </c>
      <c r="D1154" s="24" t="str">
        <f t="shared" si="164"/>
        <v>Q9B</v>
      </c>
      <c r="E1154" s="13" t="str">
        <f>VLOOKUP(D:D,工作表2!A:B,2,0)</f>
        <v>邦善</v>
      </c>
      <c r="F1154" s="13" t="str">
        <f>VLOOKUP(D:D,工作表2!A:C,3,0)</f>
        <v>黑</v>
      </c>
      <c r="G1154" s="17">
        <v>10327563</v>
      </c>
      <c r="H1154" s="17" t="s">
        <v>1052</v>
      </c>
      <c r="I1154" s="18" t="s">
        <v>1156</v>
      </c>
      <c r="J1154" s="15">
        <v>900</v>
      </c>
      <c r="K1154" s="15">
        <v>63</v>
      </c>
      <c r="L1154" s="20">
        <f t="shared" si="165"/>
        <v>7.0000000000000007E-2</v>
      </c>
      <c r="M1154" s="12">
        <v>34</v>
      </c>
      <c r="N1154" s="12">
        <v>29</v>
      </c>
      <c r="Q1154" s="23" t="str">
        <f>VLOOKUP(H:H,'[1]雷雕處遮蔽&amp;艾仕得8844'!$A:$C,3,0)</f>
        <v>L</v>
      </c>
    </row>
    <row r="1155" spans="1:21">
      <c r="A1155" s="25">
        <v>46160</v>
      </c>
      <c r="B1155" s="29">
        <v>0.54166666666666663</v>
      </c>
      <c r="C1155" s="19">
        <v>46162</v>
      </c>
      <c r="D1155" s="24" t="str">
        <f t="shared" si="164"/>
        <v>Q9B</v>
      </c>
      <c r="E1155" s="13" t="str">
        <f>VLOOKUP(D:D,工作表2!A:B,2,0)</f>
        <v>邦善</v>
      </c>
      <c r="F1155" s="13" t="str">
        <f>VLOOKUP(D:D,工作表2!A:C,3,0)</f>
        <v>黑</v>
      </c>
      <c r="G1155" s="17">
        <v>10327626</v>
      </c>
      <c r="H1155" s="17" t="s">
        <v>967</v>
      </c>
      <c r="I1155" s="18" t="s">
        <v>972</v>
      </c>
      <c r="J1155" s="15">
        <v>1000</v>
      </c>
      <c r="K1155" s="15">
        <v>206</v>
      </c>
      <c r="L1155" s="20">
        <f t="shared" si="165"/>
        <v>0.20599999999999999</v>
      </c>
      <c r="M1155" s="12">
        <v>141</v>
      </c>
      <c r="N1155" s="12">
        <v>65</v>
      </c>
      <c r="P1155" s="32" t="s">
        <v>1152</v>
      </c>
      <c r="Q1155" s="23" t="str">
        <f>VLOOKUP(H:H,'[1]雷雕處遮蔽&amp;艾仕得8844'!$A:$C,3,0)</f>
        <v>R</v>
      </c>
    </row>
    <row r="1156" spans="1:21">
      <c r="A1156" s="25">
        <v>46161</v>
      </c>
      <c r="B1156" s="29">
        <v>0.47361111111111115</v>
      </c>
      <c r="C1156" s="19">
        <v>46162</v>
      </c>
      <c r="D1156" s="24" t="str">
        <f t="shared" si="164"/>
        <v>Q9B</v>
      </c>
      <c r="E1156" s="13" t="str">
        <f>VLOOKUP(D:D,工作表2!A:B,2,0)</f>
        <v>邦善</v>
      </c>
      <c r="F1156" s="13" t="str">
        <f>VLOOKUP(D:D,工作表2!A:C,3,0)</f>
        <v>黑</v>
      </c>
      <c r="G1156" s="17">
        <v>10327627</v>
      </c>
      <c r="H1156" s="17" t="s">
        <v>967</v>
      </c>
      <c r="I1156" s="18" t="s">
        <v>972</v>
      </c>
      <c r="J1156" s="15">
        <v>350</v>
      </c>
      <c r="K1156" s="15">
        <v>90</v>
      </c>
      <c r="L1156" s="20">
        <f t="shared" si="165"/>
        <v>0.25714285714285712</v>
      </c>
      <c r="M1156" s="12">
        <v>50</v>
      </c>
      <c r="N1156" s="12">
        <v>40</v>
      </c>
      <c r="P1156" s="32" t="s">
        <v>1153</v>
      </c>
      <c r="Q1156" s="23" t="str">
        <f>VLOOKUP(H:H,'[1]雷雕處遮蔽&amp;艾仕得8844'!$A:$C,3,0)</f>
        <v>R</v>
      </c>
    </row>
    <row r="1157" spans="1:21">
      <c r="A1157" s="25">
        <v>46162</v>
      </c>
      <c r="B1157" s="29">
        <v>0.62083333333333335</v>
      </c>
      <c r="C1157" s="11">
        <v>46163</v>
      </c>
      <c r="D1157" s="24" t="str">
        <f>RIGHT(I1157,3)</f>
        <v>HXR</v>
      </c>
      <c r="E1157" s="13" t="str">
        <f>VLOOKUP(D:D,工作表2!A:B,2,0)</f>
        <v>邦善</v>
      </c>
      <c r="F1157" s="13" t="str">
        <f>VLOOKUP(D:D,工作表2!A:C,3,0)</f>
        <v>紅</v>
      </c>
      <c r="G1157" s="17">
        <v>10332710</v>
      </c>
      <c r="H1157" s="17" t="s">
        <v>1105</v>
      </c>
      <c r="I1157" s="18" t="s">
        <v>1107</v>
      </c>
      <c r="J1157" s="15">
        <v>30</v>
      </c>
      <c r="K1157" s="15">
        <v>0</v>
      </c>
      <c r="L1157" s="20">
        <f>K1157/J1157</f>
        <v>0</v>
      </c>
      <c r="Q1157" s="23"/>
    </row>
    <row r="1158" spans="1:21">
      <c r="A1158" s="25">
        <v>46162</v>
      </c>
      <c r="B1158" s="29">
        <v>0.375</v>
      </c>
      <c r="C1158" s="11">
        <v>46163</v>
      </c>
      <c r="D1158" s="24" t="str">
        <f>RIGHT(I1158,3)</f>
        <v>QRB</v>
      </c>
      <c r="E1158" s="13" t="str">
        <f>VLOOKUP(D:D,工作表2!A:B,2,0)</f>
        <v>邦善</v>
      </c>
      <c r="F1158" s="13" t="str">
        <f>VLOOKUP(D:D,工作表2!A:C,3,0)</f>
        <v>霧面黑</v>
      </c>
      <c r="G1158" s="17">
        <v>10331360</v>
      </c>
      <c r="H1158" s="17" t="s">
        <v>170</v>
      </c>
      <c r="I1158" s="18" t="s">
        <v>171</v>
      </c>
      <c r="J1158" s="15">
        <v>26600</v>
      </c>
      <c r="K1158" s="15">
        <v>794</v>
      </c>
      <c r="L1158" s="20">
        <f>K1158/J1158</f>
        <v>2.9849624060150376E-2</v>
      </c>
      <c r="M1158" s="12">
        <v>663</v>
      </c>
      <c r="N1158" s="12">
        <v>129</v>
      </c>
      <c r="O1158" s="15">
        <v>2</v>
      </c>
      <c r="Q1158" s="23"/>
    </row>
    <row r="1159" spans="1:21">
      <c r="A1159" s="25">
        <v>46162</v>
      </c>
      <c r="B1159" s="29">
        <v>0.46875</v>
      </c>
      <c r="C1159" s="19">
        <v>46163</v>
      </c>
      <c r="D1159" s="24" t="str">
        <f>RIGHT(I1159,3)</f>
        <v>N8B</v>
      </c>
      <c r="E1159" s="13" t="str">
        <f>VLOOKUP(D:D,工作表2!A:B,2,0)</f>
        <v>邦善</v>
      </c>
      <c r="F1159" s="13" t="str">
        <f>VLOOKUP(D:D,工作表2!A:C,3,0)</f>
        <v>霧面黑</v>
      </c>
      <c r="G1159" s="17">
        <v>10327592</v>
      </c>
      <c r="H1159" s="17" t="s">
        <v>5</v>
      </c>
      <c r="I1159" s="18" t="s">
        <v>6</v>
      </c>
      <c r="J1159" s="15">
        <v>2926</v>
      </c>
      <c r="K1159" s="15">
        <v>23</v>
      </c>
      <c r="L1159" s="20">
        <f>K1159/J1159</f>
        <v>7.8605604921394394E-3</v>
      </c>
      <c r="M1159" s="12">
        <v>20</v>
      </c>
      <c r="N1159" s="12">
        <v>3</v>
      </c>
      <c r="Q1159" s="23"/>
    </row>
    <row r="1160" spans="1:21">
      <c r="A1160" s="25">
        <v>46160</v>
      </c>
      <c r="B1160" s="29">
        <v>0.52847222222222223</v>
      </c>
      <c r="C1160" s="19">
        <v>46163</v>
      </c>
      <c r="D1160" s="24" t="str">
        <f>RIGHT(I1160,3)</f>
        <v>NBB</v>
      </c>
      <c r="E1160" s="13" t="str">
        <f>VLOOKUP(D:D,工作表2!A:B,2,0)</f>
        <v>邦善</v>
      </c>
      <c r="F1160" s="13" t="str">
        <f>VLOOKUP(D:D,工作表2!A:C,3,0)</f>
        <v>霧面黑</v>
      </c>
      <c r="G1160" s="17">
        <v>10327547</v>
      </c>
      <c r="H1160" s="17" t="s">
        <v>306</v>
      </c>
      <c r="I1160" s="18" t="s">
        <v>307</v>
      </c>
      <c r="J1160" s="15">
        <v>3458</v>
      </c>
      <c r="K1160" s="15">
        <v>28</v>
      </c>
      <c r="L1160" s="20">
        <f>K1160/J1160</f>
        <v>8.0971659919028341E-3</v>
      </c>
      <c r="M1160" s="12">
        <v>24</v>
      </c>
      <c r="N1160" s="12">
        <v>4</v>
      </c>
      <c r="Q1160" s="23"/>
    </row>
    <row r="1161" spans="1:21">
      <c r="A1161" s="25">
        <v>46160</v>
      </c>
      <c r="B1161" s="29">
        <v>0.61319444444444449</v>
      </c>
      <c r="C1161" s="19">
        <v>46163</v>
      </c>
      <c r="D1161" s="24" t="str">
        <f>RIGHT(I1161,3)</f>
        <v>NGW</v>
      </c>
      <c r="E1161" s="13" t="str">
        <f>VLOOKUP(D:D,工作表2!A:B,2,0)</f>
        <v>邦善</v>
      </c>
      <c r="F1161" s="13" t="str">
        <f>VLOOKUP(D:D,工作表2!A:C,3,0)</f>
        <v>白</v>
      </c>
      <c r="G1161" s="17">
        <v>10327591</v>
      </c>
      <c r="H1161" s="17" t="s">
        <v>543</v>
      </c>
      <c r="I1161" s="18" t="s">
        <v>554</v>
      </c>
      <c r="J1161" s="15">
        <v>798</v>
      </c>
      <c r="K1161" s="15">
        <v>47</v>
      </c>
      <c r="L1161" s="20">
        <f>K1161/J1161</f>
        <v>5.889724310776942E-2</v>
      </c>
      <c r="M1161" s="12">
        <v>35</v>
      </c>
      <c r="N1161" s="12">
        <v>12</v>
      </c>
      <c r="Q1161" s="23"/>
    </row>
    <row r="1162" spans="1:21">
      <c r="A1162" s="25">
        <v>46162</v>
      </c>
      <c r="B1162" s="29">
        <v>0.52500000000000002</v>
      </c>
      <c r="C1162" s="19">
        <v>46163</v>
      </c>
      <c r="D1162" s="24" t="str">
        <f>RIGHT(I1162,3)</f>
        <v>R7A</v>
      </c>
      <c r="E1162" s="13" t="str">
        <f>VLOOKUP(D:D,工作表2!A:B,2,0)</f>
        <v>邦善</v>
      </c>
      <c r="F1162" s="13" t="str">
        <f>VLOOKUP(D:D,工作表2!A:C,3,0)</f>
        <v>灰</v>
      </c>
      <c r="G1162" s="17">
        <v>10327593</v>
      </c>
      <c r="H1162" s="17" t="s">
        <v>767</v>
      </c>
      <c r="I1162" s="18" t="s">
        <v>770</v>
      </c>
      <c r="J1162" s="15">
        <v>532</v>
      </c>
      <c r="K1162" s="15">
        <v>44</v>
      </c>
      <c r="L1162" s="20">
        <f>K1162/J1162</f>
        <v>8.2706766917293228E-2</v>
      </c>
      <c r="M1162" s="12">
        <v>30</v>
      </c>
      <c r="N1162" s="12">
        <v>14</v>
      </c>
      <c r="Q1162" s="23"/>
    </row>
    <row r="1163" spans="1:21">
      <c r="A1163" s="25">
        <v>46162</v>
      </c>
      <c r="B1163" s="29">
        <v>0.61249999999999993</v>
      </c>
      <c r="C1163" s="19">
        <v>46163</v>
      </c>
      <c r="D1163" s="24" t="str">
        <f>RIGHT(I1163,3)</f>
        <v>HPP</v>
      </c>
      <c r="E1163" s="13" t="str">
        <f>VLOOKUP(D:D,工作表2!A:B,2,0)</f>
        <v>邦善</v>
      </c>
      <c r="F1163" s="13" t="str">
        <f>VLOOKUP(D:D,工作表2!A:C,3,0)</f>
        <v>紫</v>
      </c>
      <c r="G1163" s="17">
        <v>10332711</v>
      </c>
      <c r="H1163" s="17" t="s">
        <v>1095</v>
      </c>
      <c r="I1163" s="18" t="s">
        <v>1100</v>
      </c>
      <c r="J1163" s="15">
        <v>30</v>
      </c>
      <c r="K1163" s="15">
        <v>8</v>
      </c>
      <c r="L1163" s="20">
        <f>K1163/J1163</f>
        <v>0.26666666666666666</v>
      </c>
      <c r="M1163" s="12">
        <v>6</v>
      </c>
      <c r="N1163" s="12">
        <v>2</v>
      </c>
      <c r="Q1163" s="23"/>
    </row>
    <row r="1164" spans="1:21">
      <c r="A1164" s="25">
        <v>46162</v>
      </c>
      <c r="B1164" s="29">
        <v>0.61388888888888882</v>
      </c>
      <c r="C1164" s="19">
        <v>46163</v>
      </c>
      <c r="D1164" s="24" t="str">
        <f>RIGHT(I1164,3)</f>
        <v>HUR</v>
      </c>
      <c r="E1164" s="13" t="str">
        <f>VLOOKUP(D:D,工作表2!A:B,2,0)</f>
        <v>建榮</v>
      </c>
      <c r="F1164" s="13" t="str">
        <f>VLOOKUP(D:D,工作表2!A:C,3,0)</f>
        <v>紅</v>
      </c>
      <c r="G1164" s="17">
        <v>10328289</v>
      </c>
      <c r="H1164" s="17" t="s">
        <v>1157</v>
      </c>
      <c r="I1164" s="18" t="s">
        <v>1158</v>
      </c>
      <c r="J1164" s="15">
        <v>30</v>
      </c>
      <c r="K1164" s="15">
        <v>4</v>
      </c>
      <c r="L1164" s="20">
        <f>K1164/J1164</f>
        <v>0.13333333333333333</v>
      </c>
      <c r="M1164" s="12">
        <v>4</v>
      </c>
      <c r="Q1164" s="23"/>
    </row>
    <row r="1165" spans="1:21">
      <c r="A1165" s="25">
        <v>46161</v>
      </c>
      <c r="B1165" s="29">
        <v>0.56944444444444442</v>
      </c>
      <c r="C1165" s="19">
        <v>46163</v>
      </c>
      <c r="D1165" s="24" t="str">
        <f>RIGHT(I1165,3)</f>
        <v>NGW</v>
      </c>
      <c r="E1165" s="13" t="str">
        <f>VLOOKUP(D:D,工作表2!A:B,2,0)</f>
        <v>邦善</v>
      </c>
      <c r="F1165" s="13" t="str">
        <f>VLOOKUP(D:D,工作表2!A:C,3,0)</f>
        <v>白</v>
      </c>
      <c r="G1165" s="17">
        <v>10327561</v>
      </c>
      <c r="H1165" s="17" t="s">
        <v>715</v>
      </c>
      <c r="I1165" s="18" t="s">
        <v>720</v>
      </c>
      <c r="J1165" s="15">
        <v>400</v>
      </c>
      <c r="K1165" s="15">
        <v>24</v>
      </c>
      <c r="L1165" s="20">
        <f>K1165/J1165</f>
        <v>0.06</v>
      </c>
      <c r="M1165" s="12">
        <v>18</v>
      </c>
      <c r="N1165" s="12">
        <v>6</v>
      </c>
      <c r="Q1165" s="23" t="str">
        <f>VLOOKUP(H:H,'[1]雷雕處遮蔽&amp;艾仕得8844'!$A:$C,3,0)</f>
        <v>R</v>
      </c>
    </row>
    <row r="1166" spans="1:21">
      <c r="A1166" s="25">
        <v>46161</v>
      </c>
      <c r="B1166" s="29">
        <v>0.58819444444444446</v>
      </c>
      <c r="C1166" s="19">
        <v>46163</v>
      </c>
      <c r="D1166" s="24" t="str">
        <f>RIGHT(I1166,3)</f>
        <v>NGW</v>
      </c>
      <c r="E1166" s="13" t="str">
        <f>VLOOKUP(D:D,工作表2!A:B,2,0)</f>
        <v>邦善</v>
      </c>
      <c r="F1166" s="13" t="str">
        <f>VLOOKUP(D:D,工作表2!A:C,3,0)</f>
        <v>白</v>
      </c>
      <c r="G1166" s="17">
        <v>10327602</v>
      </c>
      <c r="H1166" s="17" t="s">
        <v>327</v>
      </c>
      <c r="I1166" s="18" t="s">
        <v>328</v>
      </c>
      <c r="J1166" s="15">
        <v>360</v>
      </c>
      <c r="K1166" s="15">
        <v>32</v>
      </c>
      <c r="L1166" s="20">
        <f>K1166/J1166</f>
        <v>8.8888888888888892E-2</v>
      </c>
      <c r="M1166" s="12">
        <v>27</v>
      </c>
      <c r="N1166" s="12">
        <v>5</v>
      </c>
      <c r="Q1166" s="23" t="str">
        <f>VLOOKUP(H:H,'[1]雷雕處遮蔽&amp;艾仕得8844'!$A:$C,3,0)</f>
        <v>R</v>
      </c>
    </row>
    <row r="1167" spans="1:21">
      <c r="A1167" s="25">
        <v>46160</v>
      </c>
      <c r="B1167" s="29">
        <v>0.64930555555555558</v>
      </c>
      <c r="C1167" s="19">
        <v>46163</v>
      </c>
      <c r="D1167" s="24" t="str">
        <f>RIGHT(I1167,3)</f>
        <v>NGW</v>
      </c>
      <c r="E1167" s="13" t="str">
        <f>VLOOKUP(D:D,工作表2!A:B,2,0)</f>
        <v>邦善</v>
      </c>
      <c r="F1167" s="13" t="str">
        <f>VLOOKUP(D:D,工作表2!A:C,3,0)</f>
        <v>白</v>
      </c>
      <c r="G1167" s="17">
        <v>10327560</v>
      </c>
      <c r="H1167" s="17" t="s">
        <v>896</v>
      </c>
      <c r="I1167" s="18" t="s">
        <v>903</v>
      </c>
      <c r="J1167" s="15">
        <v>520</v>
      </c>
      <c r="K1167" s="15">
        <v>28</v>
      </c>
      <c r="L1167" s="20">
        <f>K1167/J1167</f>
        <v>5.3846153846153849E-2</v>
      </c>
      <c r="M1167" s="12">
        <v>14</v>
      </c>
      <c r="N1167" s="12">
        <v>11</v>
      </c>
      <c r="P1167" s="32" t="s">
        <v>1159</v>
      </c>
      <c r="Q1167" s="23" t="str">
        <f>VLOOKUP(H:H,'[1]雷雕處遮蔽&amp;艾仕得8844'!$A:$C,3,0)</f>
        <v>R</v>
      </c>
      <c r="U1167" s="12">
        <v>3</v>
      </c>
    </row>
    <row r="1168" spans="1:21">
      <c r="A1168" s="25">
        <v>46161</v>
      </c>
      <c r="B1168" s="29">
        <v>0.59722222222222221</v>
      </c>
      <c r="C1168" s="19">
        <v>46163</v>
      </c>
      <c r="D1168" s="24" t="str">
        <f>RIGHT(I1168,3)</f>
        <v>NGW</v>
      </c>
      <c r="E1168" s="13" t="str">
        <f>VLOOKUP(D:D,工作表2!A:B,2,0)</f>
        <v>邦善</v>
      </c>
      <c r="F1168" s="13" t="str">
        <f>VLOOKUP(D:D,工作表2!A:C,3,0)</f>
        <v>白</v>
      </c>
      <c r="G1168" s="17">
        <v>10327562</v>
      </c>
      <c r="H1168" s="17" t="s">
        <v>374</v>
      </c>
      <c r="I1168" s="18" t="s">
        <v>378</v>
      </c>
      <c r="J1168" s="15">
        <v>560</v>
      </c>
      <c r="K1168" s="15">
        <v>51</v>
      </c>
      <c r="L1168" s="20">
        <f>K1168/J1168</f>
        <v>9.1071428571428567E-2</v>
      </c>
      <c r="M1168" s="12">
        <v>44</v>
      </c>
      <c r="N1168" s="12">
        <v>7</v>
      </c>
      <c r="Q1168" s="23" t="str">
        <f>VLOOKUP(H:H,'[1]雷雕處遮蔽&amp;艾仕得8844'!$A:$C,3,0)</f>
        <v>L</v>
      </c>
    </row>
    <row r="1169" spans="1:17">
      <c r="A1169" s="25">
        <v>46161</v>
      </c>
      <c r="B1169" s="29">
        <v>0.56111111111111112</v>
      </c>
      <c r="C1169" s="19">
        <v>46163</v>
      </c>
      <c r="D1169" s="24" t="str">
        <f>RIGHT(I1169,3)</f>
        <v>NGW</v>
      </c>
      <c r="E1169" s="13" t="str">
        <f>VLOOKUP(D:D,工作表2!A:B,2,0)</f>
        <v>邦善</v>
      </c>
      <c r="F1169" s="13" t="str">
        <f>VLOOKUP(D:D,工作表2!A:C,3,0)</f>
        <v>白</v>
      </c>
      <c r="G1169" s="17">
        <v>10327567</v>
      </c>
      <c r="H1169" s="17" t="s">
        <v>382</v>
      </c>
      <c r="I1169" s="18" t="s">
        <v>387</v>
      </c>
      <c r="J1169" s="15">
        <v>400</v>
      </c>
      <c r="K1169" s="15">
        <v>13</v>
      </c>
      <c r="L1169" s="20">
        <f>K1169/J1169</f>
        <v>3.2500000000000001E-2</v>
      </c>
      <c r="M1169" s="12">
        <v>10</v>
      </c>
      <c r="N1169" s="12">
        <v>3</v>
      </c>
      <c r="Q1169" s="23" t="str">
        <f>VLOOKUP(H:H,'[1]雷雕處遮蔽&amp;艾仕得8844'!$A:$C,3,0)</f>
        <v>R</v>
      </c>
    </row>
    <row r="1170" spans="1:17">
      <c r="A1170" s="25">
        <v>46160</v>
      </c>
      <c r="B1170" s="29">
        <v>0.61736111111111114</v>
      </c>
      <c r="C1170" s="19">
        <v>46163</v>
      </c>
      <c r="D1170" s="24" t="str">
        <f>RIGHT(I1170,3)</f>
        <v>NGW</v>
      </c>
      <c r="E1170" s="13" t="str">
        <f>VLOOKUP(D:D,工作表2!A:B,2,0)</f>
        <v>邦善</v>
      </c>
      <c r="F1170" s="13" t="str">
        <f>VLOOKUP(D:D,工作表2!A:C,3,0)</f>
        <v>白</v>
      </c>
      <c r="G1170" s="17">
        <v>10327568</v>
      </c>
      <c r="H1170" s="17" t="s">
        <v>435</v>
      </c>
      <c r="I1170" s="18" t="s">
        <v>437</v>
      </c>
      <c r="J1170" s="15">
        <v>760</v>
      </c>
      <c r="K1170" s="15">
        <v>32</v>
      </c>
      <c r="L1170" s="20">
        <f>K1170/J1170</f>
        <v>4.2105263157894736E-2</v>
      </c>
      <c r="M1170" s="12">
        <v>26</v>
      </c>
      <c r="N1170" s="12">
        <v>6</v>
      </c>
      <c r="Q1170" s="23" t="str">
        <f>VLOOKUP(H:H,'[1]雷雕處遮蔽&amp;艾仕得8844'!$A:$C,3,0)</f>
        <v>L</v>
      </c>
    </row>
    <row r="1171" spans="1:17">
      <c r="A1171" s="25">
        <v>46160</v>
      </c>
      <c r="B1171" s="29">
        <v>0.56041666666666667</v>
      </c>
      <c r="C1171" s="19">
        <v>46163</v>
      </c>
      <c r="D1171" s="24" t="str">
        <f>RIGHT(I1171,3)</f>
        <v>Q9B</v>
      </c>
      <c r="E1171" s="13" t="str">
        <f>VLOOKUP(D:D,工作表2!A:B,2,0)</f>
        <v>邦善</v>
      </c>
      <c r="F1171" s="13" t="str">
        <f>VLOOKUP(D:D,工作表2!A:C,3,0)</f>
        <v>黑</v>
      </c>
      <c r="G1171" s="17">
        <v>10327584</v>
      </c>
      <c r="H1171" s="17" t="s">
        <v>730</v>
      </c>
      <c r="I1171" s="18" t="s">
        <v>737</v>
      </c>
      <c r="J1171" s="15">
        <v>360</v>
      </c>
      <c r="K1171" s="15">
        <v>32</v>
      </c>
      <c r="L1171" s="20">
        <f>K1171/J1171</f>
        <v>8.8888888888888892E-2</v>
      </c>
      <c r="M1171" s="12">
        <v>27</v>
      </c>
      <c r="N1171" s="12">
        <v>5</v>
      </c>
      <c r="Q1171" s="23" t="str">
        <f>VLOOKUP(H:H,'[1]雷雕處遮蔽&amp;艾仕得8844'!$A:$C,3,0)</f>
        <v>R</v>
      </c>
    </row>
  </sheetData>
  <autoFilter ref="A3:Z1171"/>
  <sortState ref="A1157:Z1171">
    <sortCondition ref="I1157:I1171"/>
  </sortState>
  <phoneticPr fontId="2" type="noConversion"/>
  <pageMargins left="0" right="0" top="0" bottom="0" header="0" footer="0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2"/>
  <sheetViews>
    <sheetView zoomScale="115" zoomScaleNormal="115" workbookViewId="0">
      <pane xSplit="4" ySplit="1" topLeftCell="E65" activePane="bottomRight" state="frozen"/>
      <selection pane="topRight" activeCell="E1" sqref="E1"/>
      <selection pane="bottomLeft" activeCell="A2" sqref="A2"/>
      <selection pane="bottomRight" activeCell="B82" sqref="B82:B85"/>
    </sheetView>
  </sheetViews>
  <sheetFormatPr defaultRowHeight="15.75"/>
  <cols>
    <col min="1" max="1" width="9.140625" style="55"/>
    <col min="2" max="3" width="9.140625" style="2"/>
    <col min="4" max="4" width="9.140625" style="56"/>
    <col min="5" max="7" width="18.28515625" style="64" customWidth="1"/>
    <col min="8" max="8" width="9.140625" style="64"/>
    <col min="9" max="10" width="9.140625" style="63"/>
  </cols>
  <sheetData>
    <row r="1" spans="1:7">
      <c r="A1" s="65" t="s">
        <v>924</v>
      </c>
      <c r="B1" s="66" t="s">
        <v>922</v>
      </c>
      <c r="C1" s="66" t="s">
        <v>4</v>
      </c>
      <c r="D1" s="67" t="s">
        <v>923</v>
      </c>
      <c r="E1" s="68" t="s">
        <v>991</v>
      </c>
      <c r="F1" s="68" t="s">
        <v>992</v>
      </c>
      <c r="G1" s="68" t="s">
        <v>993</v>
      </c>
    </row>
    <row r="2" spans="1:7" hidden="1">
      <c r="A2" s="75">
        <v>46082</v>
      </c>
      <c r="B2" s="76">
        <f>SUMIF('塗裝各項不良率-明細'!C:C,工作表6!A:A,'塗裝各項不良率-明細'!J:J)</f>
        <v>0</v>
      </c>
      <c r="C2" s="76">
        <f>SUMIF('塗裝各項不良率-明細'!C:C,工作表6!A:A,'塗裝各項不良率-明細'!K:K)</f>
        <v>0</v>
      </c>
      <c r="D2" s="77" t="e">
        <f t="shared" ref="D2:D7" si="0">C2/B2%</f>
        <v>#DIV/0!</v>
      </c>
      <c r="E2" s="78">
        <f>IFERROR(SUMIFS('塗裝各項不良率-明細'!K:K, '塗裝各項不良率-明細'!C:C, A2, '塗裝各項不良率-明細'!I:I, "5OE*") / SUMIFS('塗裝各項不良率-明細'!J:J, '塗裝各項不良率-明細'!C:C, A2, '塗裝各項不良率-明細'!I:I, "5OE*"), 0)</f>
        <v>0</v>
      </c>
      <c r="F2" s="78">
        <f>IFERROR(SUMIFS('塗裝各項不良率-明細'!K:K, '塗裝各項不良率-明細'!C:C, A2, '塗裝各項不良率-明細'!I:I, "5PP*") / SUMIFS('塗裝各項不良率-明細'!J:J, '塗裝各項不良率-明細'!C:C, A2, '塗裝各項不良率-明細'!I:I, "5PP*"), 0)</f>
        <v>0</v>
      </c>
      <c r="G2" s="78">
        <f>IFERROR(SUMIFS('塗裝各項不良率-明細'!K:K, '塗裝各項不良率-明細'!C:C, A2, '塗裝各項不良率-明細'!I:I, "5SN*") / SUMIFS('塗裝各項不良率-明細'!J:J, '塗裝各項不良率-明細'!C:C, A2, '塗裝各項不良率-明細'!I:I, "5SN*"), 0)</f>
        <v>0</v>
      </c>
    </row>
    <row r="3" spans="1:7" hidden="1">
      <c r="A3" s="61">
        <v>46083</v>
      </c>
      <c r="B3" s="71">
        <f>SUMIF('塗裝各項不良率-明細'!C:C,工作表6!A:A,'塗裝各項不良率-明細'!J:J)</f>
        <v>27358</v>
      </c>
      <c r="C3" s="71">
        <f>SUMIF('塗裝各項不良率-明細'!C:C,工作表6!A:A,'塗裝各項不良率-明細'!K:K)</f>
        <v>2019</v>
      </c>
      <c r="D3" s="70">
        <f t="shared" si="0"/>
        <v>7.379925433145698</v>
      </c>
      <c r="E3" s="73">
        <f>IFERROR(SUMIFS('塗裝各項不良率-明細'!K:K, '塗裝各項不良率-明細'!C:C, A3, '塗裝各項不良率-明細'!I:I, "5OE*") / SUMIFS('塗裝各項不良率-明細'!J:J, '塗裝各項不良率-明細'!C:C, A3, '塗裝各項不良率-明細'!I:I, "5OE*"), 0)</f>
        <v>7.1617817519456867E-2</v>
      </c>
      <c r="F3" s="73">
        <f>IFERROR(SUMIFS('塗裝各項不良率-明細'!K:K, '塗裝各項不良率-明細'!C:C, A3, '塗裝各項不良率-明細'!I:I, "5PP*") / SUMIFS('塗裝各項不良率-明細'!J:J, '塗裝各項不良率-明細'!C:C, A3, '塗裝各項不良率-明細'!I:I, "5PP*"), 0)</f>
        <v>9.0256089943785131E-2</v>
      </c>
      <c r="G3" s="73">
        <f>IFERROR(SUMIFS('塗裝各項不良率-明細'!K:K, '塗裝各項不良率-明細'!C:C, A3, '塗裝各項不良率-明細'!I:I, "5SN*") / SUMIFS('塗裝各項不良率-明細'!J:J, '塗裝各項不良率-明細'!C:C, A3, '塗裝各項不良率-明細'!I:I, "5SN*"), 0)</f>
        <v>0</v>
      </c>
    </row>
    <row r="4" spans="1:7" hidden="1">
      <c r="A4" s="61">
        <v>46084</v>
      </c>
      <c r="B4" s="71">
        <f>SUMIF('塗裝各項不良率-明細'!C:C,工作表6!A:A,'塗裝各項不良率-明細'!J:J)</f>
        <v>39958</v>
      </c>
      <c r="C4" s="71">
        <f>SUMIF('塗裝各項不良率-明細'!C:C,工作表6!A:A,'塗裝各項不良率-明細'!K:K)</f>
        <v>1913</v>
      </c>
      <c r="D4" s="70">
        <f t="shared" si="0"/>
        <v>4.7875269032484109</v>
      </c>
      <c r="E4" s="73">
        <f>IFERROR(SUMIFS('塗裝各項不良率-明細'!K:K, '塗裝各項不良率-明細'!C:C, A4, '塗裝各項不良率-明細'!I:I, "5OE*") / SUMIFS('塗裝各項不良率-明細'!J:J, '塗裝各項不良率-明細'!C:C, A4, '塗裝各項不良率-明細'!I:I, "5OE*"), 0)</f>
        <v>4.4981334455018666E-2</v>
      </c>
      <c r="F4" s="73">
        <f>IFERROR(SUMIFS('塗裝各項不良率-明細'!K:K, '塗裝各項不良率-明細'!C:C, A4, '塗裝各項不良率-明細'!I:I, "5PP*") / SUMIFS('塗裝各項不良率-明細'!J:J, '塗裝各項不良率-明細'!C:C, A4, '塗裝各項不良率-明細'!I:I, "5PP*"), 0)</f>
        <v>0.10706521739130435</v>
      </c>
      <c r="G4" s="73">
        <f>IFERROR(SUMIFS('塗裝各項不良率-明細'!K:K, '塗裝各項不良率-明細'!C:C, A4, '塗裝各項不良率-明細'!I:I, "5SN*") / SUMIFS('塗裝各項不良率-明細'!J:J, '塗裝各項不良率-明細'!C:C, A4, '塗裝各項不良率-明細'!I:I, "5SN*"), 0)</f>
        <v>6.25E-2</v>
      </c>
    </row>
    <row r="5" spans="1:7" hidden="1">
      <c r="A5" s="61">
        <v>46085</v>
      </c>
      <c r="B5" s="71">
        <f>SUMIF('塗裝各項不良率-明細'!C:C,工作表6!A:A,'塗裝各項不良率-明細'!J:J)</f>
        <v>46460</v>
      </c>
      <c r="C5" s="71">
        <f>SUMIF('塗裝各項不良率-明細'!C:C,工作表6!A:A,'塗裝各項不良率-明細'!K:K)</f>
        <v>2749</v>
      </c>
      <c r="D5" s="70">
        <f t="shared" si="0"/>
        <v>5.916917778734395</v>
      </c>
      <c r="E5" s="73">
        <f>IFERROR(SUMIFS('塗裝各項不良率-明細'!K:K, '塗裝各項不良率-明細'!C:C, A5, '塗裝各項不良率-明細'!I:I, "5OE*") / SUMIFS('塗裝各項不良率-明細'!J:J, '塗裝各項不良率-明細'!C:C, A5, '塗裝各項不良率-明細'!I:I, "5OE*"), 0)</f>
        <v>5.5855232826187186E-2</v>
      </c>
      <c r="F5" s="73">
        <f>IFERROR(SUMIFS('塗裝各項不良率-明細'!K:K, '塗裝各項不良率-明細'!C:C, A5, '塗裝各項不良率-明細'!I:I, "5PP*") / SUMIFS('塗裝各項不良率-明細'!J:J, '塗裝各項不良率-明細'!C:C, A5, '塗裝各項不良率-明細'!I:I, "5PP*"), 0)</f>
        <v>0.10584415584415584</v>
      </c>
      <c r="G5" s="73">
        <f>IFERROR(SUMIFS('塗裝各項不良率-明細'!K:K, '塗裝各項不良率-明細'!C:C, A5, '塗裝各項不良率-明細'!I:I, "5SN*") / SUMIFS('塗裝各項不良率-明細'!J:J, '塗裝各項不良率-明細'!C:C, A5, '塗裝各項不良率-明細'!I:I, "5SN*"), 0)</f>
        <v>0</v>
      </c>
    </row>
    <row r="6" spans="1:7" hidden="1">
      <c r="A6" s="61">
        <v>46086</v>
      </c>
      <c r="B6" s="71">
        <f>SUMIF('塗裝各項不良率-明細'!C:C,工作表6!A:A,'塗裝各項不良率-明細'!J:J)</f>
        <v>35484</v>
      </c>
      <c r="C6" s="71">
        <f>SUMIF('塗裝各項不良率-明細'!C:C,工作表6!A:A,'塗裝各項不良率-明細'!K:K)</f>
        <v>1819</v>
      </c>
      <c r="D6" s="70">
        <f t="shared" si="0"/>
        <v>5.1262540863487773</v>
      </c>
      <c r="E6" s="73">
        <f>IFERROR(SUMIFS('塗裝各項不良率-明細'!K:K, '塗裝各項不良率-明細'!C:C, A6, '塗裝各項不良率-明細'!I:I, "5OE*") / SUMIFS('塗裝各項不良率-明細'!J:J, '塗裝各項不良率-明細'!C:C, A6, '塗裝各項不良率-明細'!I:I, "5OE*"), 0)</f>
        <v>3.7454747981063768E-2</v>
      </c>
      <c r="F6" s="73">
        <f>IFERROR(SUMIFS('塗裝各項不良率-明細'!K:K, '塗裝各項不良率-明細'!C:C, A6, '塗裝各項不良率-明細'!I:I, "5PP*") / SUMIFS('塗裝各項不良率-明細'!J:J, '塗裝各項不良率-明細'!C:C, A6, '塗裝各項不良率-明細'!I:I, "5PP*"), 0)</f>
        <v>0.10997631734754293</v>
      </c>
      <c r="G6" s="73">
        <f>IFERROR(SUMIFS('塗裝各項不良率-明細'!K:K, '塗裝各項不良率-明細'!C:C, A6, '塗裝各項不良率-明細'!I:I, "5SN*") / SUMIFS('塗裝各項不良率-明細'!J:J, '塗裝各項不良率-明細'!C:C, A6, '塗裝各項不良率-明細'!I:I, "5SN*"), 0)</f>
        <v>0</v>
      </c>
    </row>
    <row r="7" spans="1:7" hidden="1">
      <c r="A7" s="61">
        <v>46087</v>
      </c>
      <c r="B7" s="71">
        <f>SUMIF('塗裝各項不良率-明細'!C:C,工作表6!A:A,'塗裝各項不良率-明細'!J:J)</f>
        <v>32684</v>
      </c>
      <c r="C7" s="71">
        <f>SUMIF('塗裝各項不良率-明細'!C:C,工作表6!A:A,'塗裝各項不良率-明細'!K:K)</f>
        <v>1274</v>
      </c>
      <c r="D7" s="70">
        <f t="shared" si="0"/>
        <v>3.8979317097050545</v>
      </c>
      <c r="E7" s="73">
        <f>IFERROR(SUMIFS('塗裝各項不良率-明細'!K:K, '塗裝各項不良率-明細'!C:C, A7, '塗裝各項不良率-明細'!I:I, "5OE*") / SUMIFS('塗裝各項不良率-明細'!J:J, '塗裝各項不良率-明細'!C:C, A7, '塗裝各項不良率-明細'!I:I, "5OE*"), 0)</f>
        <v>3.4752765560442489E-2</v>
      </c>
      <c r="F7" s="73">
        <f>IFERROR(SUMIFS('塗裝各項不良率-明細'!K:K, '塗裝各項不良率-明細'!C:C, A7, '塗裝各項不良率-明細'!I:I, "5PP*") / SUMIFS('塗裝各項不良率-明細'!J:J, '塗裝各項不良率-明細'!C:C, A7, '塗裝各項不良率-明細'!I:I, "5PP*"), 0)</f>
        <v>8.7822014051522249E-2</v>
      </c>
      <c r="G7" s="73">
        <f>IFERROR(SUMIFS('塗裝各項不良率-明細'!K:K, '塗裝各項不良率-明細'!C:C, A7, '塗裝各項不良率-明細'!I:I, "5SN*") / SUMIFS('塗裝各項不良率-明細'!J:J, '塗裝各項不良率-明細'!C:C, A7, '塗裝各項不良率-明細'!I:I, "5SN*"), 0)</f>
        <v>5.4545454545454543E-2</v>
      </c>
    </row>
    <row r="8" spans="1:7" hidden="1">
      <c r="A8" s="75">
        <v>46088</v>
      </c>
      <c r="B8" s="76">
        <f>SUMIF('塗裝各項不良率-明細'!C:C,工作表6!A:A,'塗裝各項不良率-明細'!J:J)</f>
        <v>0</v>
      </c>
      <c r="C8" s="76">
        <f>SUMIF('塗裝各項不良率-明細'!C:C,工作表6!A:A,'塗裝各項不良率-明細'!K:K)</f>
        <v>0</v>
      </c>
      <c r="D8" s="77" t="e">
        <f t="shared" ref="D8:D16" si="1">C8/B8%</f>
        <v>#DIV/0!</v>
      </c>
      <c r="E8" s="78">
        <f>IFERROR(SUMIFS('塗裝各項不良率-明細'!K:K, '塗裝各項不良率-明細'!C:C, A8, '塗裝各項不良率-明細'!I:I, "5OE*") / SUMIFS('塗裝各項不良率-明細'!J:J, '塗裝各項不良率-明細'!C:C, A8, '塗裝各項不良率-明細'!I:I, "5OE*"), 0)</f>
        <v>0</v>
      </c>
      <c r="F8" s="78">
        <f>IFERROR(SUMIFS('塗裝各項不良率-明細'!K:K, '塗裝各項不良率-明細'!C:C, A8, '塗裝各項不良率-明細'!I:I, "5PP*") / SUMIFS('塗裝各項不良率-明細'!J:J, '塗裝各項不良率-明細'!C:C, A8, '塗裝各項不良率-明細'!I:I, "5PP*"), 0)</f>
        <v>0</v>
      </c>
      <c r="G8" s="78">
        <f>IFERROR(SUMIFS('塗裝各項不良率-明細'!K:K, '塗裝各項不良率-明細'!C:C, A8, '塗裝各項不良率-明細'!I:I, "5SN*") / SUMIFS('塗裝各項不良率-明細'!J:J, '塗裝各項不良率-明細'!C:C, A8, '塗裝各項不良率-明細'!I:I, "5SN*"), 0)</f>
        <v>0</v>
      </c>
    </row>
    <row r="9" spans="1:7" hidden="1">
      <c r="A9" s="75">
        <v>46089</v>
      </c>
      <c r="B9" s="76">
        <f>SUMIF('塗裝各項不良率-明細'!C:C,工作表6!A:A,'塗裝各項不良率-明細'!J:J)</f>
        <v>0</v>
      </c>
      <c r="C9" s="76">
        <f>SUMIF('塗裝各項不良率-明細'!C:C,工作表6!A:A,'塗裝各項不良率-明細'!K:K)</f>
        <v>0</v>
      </c>
      <c r="D9" s="77" t="e">
        <f t="shared" si="1"/>
        <v>#DIV/0!</v>
      </c>
      <c r="E9" s="79">
        <f>IFERROR(SUMIFS('塗裝各項不良率-明細'!K:K, '塗裝各項不良率-明細'!C:C, A9, '塗裝各項不良率-明細'!I:I, "5OE*") / SUMIFS('塗裝各項不良率-明細'!J:J, '塗裝各項不良率-明細'!C:C, A9, '塗裝各項不良率-明細'!I:I, "5OE*"), 0)</f>
        <v>0</v>
      </c>
      <c r="F9" s="79">
        <f>IFERROR(SUMIFS('塗裝各項不良率-明細'!K:K, '塗裝各項不良率-明細'!C:C, A9, '塗裝各項不良率-明細'!I:I, "5PP*") / SUMIFS('塗裝各項不良率-明細'!J:J, '塗裝各項不良率-明細'!C:C, A9, '塗裝各項不良率-明細'!I:I, "5PP*"), 0)</f>
        <v>0</v>
      </c>
      <c r="G9" s="79">
        <f>IFERROR(SUMIFS('塗裝各項不良率-明細'!K:K, '塗裝各項不良率-明細'!C:C, A9, '塗裝各項不良率-明細'!I:I, "5SN*") / SUMIFS('塗裝各項不良率-明細'!J:J, '塗裝各項不良率-明細'!C:C, A9, '塗裝各項不良率-明細'!I:I, "5SN*"), 0)</f>
        <v>0</v>
      </c>
    </row>
    <row r="10" spans="1:7" hidden="1">
      <c r="A10" s="61">
        <v>46090</v>
      </c>
      <c r="B10" s="60">
        <f>SUMIF('塗裝各項不良率-明細'!C:C,工作表6!A:A,'塗裝各項不良率-明細'!J:J)</f>
        <v>31932</v>
      </c>
      <c r="C10" s="60">
        <f>SUMIF('塗裝各項不良率-明細'!C:C,工作表6!A:A,'塗裝各項不良率-明細'!K:K)</f>
        <v>861</v>
      </c>
      <c r="D10" s="57">
        <f t="shared" si="1"/>
        <v>2.6963547538519355</v>
      </c>
      <c r="E10" s="74">
        <f>IFERROR(SUMIFS('塗裝各項不良率-明細'!K:K, '塗裝各項不良率-明細'!C:C, A10, '塗裝各項不良率-明細'!I:I, "5OE*") / SUMIFS('塗裝各項不良率-明細'!J:J, '塗裝各項不良率-明細'!C:C, A10, '塗裝各項不良率-明細'!I:I, "5OE*"), 0)</f>
        <v>2.6562698110815266E-2</v>
      </c>
      <c r="F10" s="74">
        <f>IFERROR(SUMIFS('塗裝各項不良率-明細'!K:K, '塗裝各項不良率-明細'!C:C, A10, '塗裝各項不良率-明細'!I:I, "5PP*") / SUMIFS('塗裝各項不良率-明細'!J:J, '塗裝各項不良率-明細'!C:C, A10, '塗裝各項不良率-明細'!I:I, "5PP*"), 0)</f>
        <v>5.9895833333333336E-2</v>
      </c>
      <c r="G10" s="74">
        <f>IFERROR(SUMIFS('塗裝各項不良率-明細'!K:K, '塗裝各項不良率-明細'!C:C, A10, '塗裝各項不良率-明細'!I:I, "5SN*") / SUMIFS('塗裝各項不良率-明細'!J:J, '塗裝各項不良率-明細'!C:C, A10, '塗裝各項不良率-明細'!I:I, "5SN*"), 0)</f>
        <v>0</v>
      </c>
    </row>
    <row r="11" spans="1:7" hidden="1">
      <c r="A11" s="61">
        <v>46091</v>
      </c>
      <c r="B11" s="60">
        <f>SUMIF('塗裝各項不良率-明細'!C:C,工作表6!A:A,'塗裝各項不良率-明細'!J:J)</f>
        <v>33308</v>
      </c>
      <c r="C11" s="60">
        <f>SUMIF('塗裝各項不良率-明細'!C:C,工作表6!A:A,'塗裝各項不良率-明細'!K:K)</f>
        <v>1988</v>
      </c>
      <c r="D11" s="57">
        <f t="shared" si="1"/>
        <v>5.9685360874264441</v>
      </c>
      <c r="E11" s="74">
        <f>IFERROR(SUMIFS('塗裝各項不良率-明細'!K:K, '塗裝各項不良率-明細'!C:C, A11, '塗裝各項不良率-明細'!I:I, "5OE*") / SUMIFS('塗裝各項不良率-明細'!J:J, '塗裝各項不良率-明細'!C:C, A11, '塗裝各項不良率-明細'!I:I, "5OE*"), 0)</f>
        <v>5.8998355887188568E-2</v>
      </c>
      <c r="F11" s="74">
        <f>IFERROR(SUMIFS('塗裝各項不良率-明細'!K:K, '塗裝各項不良率-明細'!C:C, A11, '塗裝各項不良率-明細'!I:I, "5PP*") / SUMIFS('塗裝各項不良率-明細'!J:J, '塗裝各項不良率-明細'!C:C, A11, '塗裝各項不良率-明細'!I:I, "5PP*"), 0)</f>
        <v>7.2619047619047625E-2</v>
      </c>
      <c r="G11" s="74">
        <f>IFERROR(SUMIFS('塗裝各項不良率-明細'!K:K, '塗裝各項不良率-明細'!C:C, A11, '塗裝各項不良率-明細'!I:I, "5SN*") / SUMIFS('塗裝各項不良率-明細'!J:J, '塗裝各項不良率-明細'!C:C, A11, '塗裝各項不良率-明細'!I:I, "5SN*"), 0)</f>
        <v>0</v>
      </c>
    </row>
    <row r="12" spans="1:7" hidden="1">
      <c r="A12" s="61">
        <v>46092</v>
      </c>
      <c r="B12" s="60">
        <f>SUMIF('塗裝各項不良率-明細'!C:C,工作表6!A:A,'塗裝各項不良率-明細'!J:J)</f>
        <v>36418</v>
      </c>
      <c r="C12" s="60">
        <f>SUMIF('塗裝各項不良率-明細'!C:C,工作表6!A:A,'塗裝各項不良率-明細'!K:K)</f>
        <v>1860</v>
      </c>
      <c r="D12" s="57">
        <f t="shared" si="1"/>
        <v>5.1073644900873196</v>
      </c>
      <c r="E12" s="74">
        <f>IFERROR(SUMIFS('塗裝各項不良率-明細'!K:K, '塗裝各項不良率-明細'!C:C, A12, '塗裝各項不良率-明細'!I:I, "5OE*") / SUMIFS('塗裝各項不良率-明細'!J:J, '塗裝各項不良率-明細'!C:C, A12, '塗裝各項不良率-明細'!I:I, "5OE*"), 0)</f>
        <v>5.0087625077731922E-2</v>
      </c>
      <c r="F12" s="74">
        <f>IFERROR(SUMIFS('塗裝各項不良率-明細'!K:K, '塗裝各項不良率-明細'!C:C, A12, '塗裝各項不良率-明細'!I:I, "5PP*") / SUMIFS('塗裝各項不良率-明細'!J:J, '塗裝各項不良率-明細'!C:C, A12, '塗裝各項不良率-明細'!I:I, "5PP*"), 0)</f>
        <v>8.461538461538462E-2</v>
      </c>
      <c r="G12" s="74">
        <f>IFERROR(SUMIFS('塗裝各項不良率-明細'!K:K, '塗裝各項不良率-明細'!C:C, A12, '塗裝各項不良率-明細'!I:I, "5SN*") / SUMIFS('塗裝各項不良率-明細'!J:J, '塗裝各項不良率-明細'!C:C, A12, '塗裝各項不良率-明細'!I:I, "5SN*"), 0)</f>
        <v>0</v>
      </c>
    </row>
    <row r="13" spans="1:7" hidden="1">
      <c r="A13" s="61">
        <v>46093</v>
      </c>
      <c r="B13" s="60">
        <f>SUMIF('塗裝各項不良率-明細'!C:C,工作表6!A:A,'塗裝各項不良率-明細'!J:J)</f>
        <v>47474</v>
      </c>
      <c r="C13" s="60">
        <f>SUMIF('塗裝各項不良率-明細'!C:C,工作表6!A:A,'塗裝各項不良率-明細'!K:K)</f>
        <v>2507</v>
      </c>
      <c r="D13" s="57">
        <f t="shared" si="1"/>
        <v>5.2807852719383241</v>
      </c>
      <c r="E13" s="74">
        <f>IFERROR(SUMIFS('塗裝各項不良率-明細'!K:K, '塗裝各項不良率-明細'!C:C, A13, '塗裝各項不良率-明細'!I:I, "5OE*") / SUMIFS('塗裝各項不良率-明細'!J:J, '塗裝各項不良率-明細'!C:C, A13, '塗裝各項不良率-明細'!I:I, "5OE*"), 0)</f>
        <v>4.6224108502099001E-2</v>
      </c>
      <c r="F13" s="74">
        <f>IFERROR(SUMIFS('塗裝各項不良率-明細'!K:K, '塗裝各項不良率-明細'!C:C, A13, '塗裝各項不良率-明細'!I:I, "5PP*") / SUMIFS('塗裝各項不良率-明細'!J:J, '塗裝各項不良率-明細'!C:C, A13, '塗裝各項不良率-明細'!I:I, "5PP*"), 0)</f>
        <v>0.12208737864077671</v>
      </c>
      <c r="G13" s="74">
        <f>IFERROR(SUMIFS('塗裝各項不良率-明細'!K:K, '塗裝各項不良率-明細'!C:C, A13, '塗裝各項不良率-明細'!I:I, "5SN*") / SUMIFS('塗裝各項不良率-明細'!J:J, '塗裝各項不良率-明細'!C:C, A13, '塗裝各項不良率-明細'!I:I, "5SN*"), 0)</f>
        <v>0</v>
      </c>
    </row>
    <row r="14" spans="1:7" hidden="1">
      <c r="A14" s="61">
        <v>46094</v>
      </c>
      <c r="B14" s="60">
        <f>SUMIF('塗裝各項不良率-明細'!C:C,工作表6!A:A,'塗裝各項不良率-明細'!J:J)</f>
        <v>31366</v>
      </c>
      <c r="C14" s="60">
        <f>SUMIF('塗裝各項不良率-明細'!C:C,工作表6!A:A,'塗裝各項不良率-明細'!K:K)</f>
        <v>1699</v>
      </c>
      <c r="D14" s="57">
        <f t="shared" si="1"/>
        <v>5.4166932347127457</v>
      </c>
      <c r="E14" s="74">
        <f>IFERROR(SUMIFS('塗裝各項不良率-明細'!K:K, '塗裝各項不良率-明細'!C:C, A14, '塗裝各項不良率-明細'!I:I, "5OE*") / SUMIFS('塗裝各項不良率-明細'!J:J, '塗裝各項不良率-明細'!C:C, A14, '塗裝各項不良率-明細'!I:I, "5OE*"), 0)</f>
        <v>5.3188526872737396E-2</v>
      </c>
      <c r="F14" s="74">
        <f>IFERROR(SUMIFS('塗裝各項不良率-明細'!K:K, '塗裝各項不良率-明細'!C:C, A14, '塗裝各項不良率-明細'!I:I, "5PP*") / SUMIFS('塗裝各項不良率-明細'!J:J, '塗裝各項不良率-明細'!C:C, A14, '塗裝各項不良率-明細'!I:I, "5PP*"), 0)</f>
        <v>6.4821834723275212E-2</v>
      </c>
      <c r="G14" s="74">
        <f>IFERROR(SUMIFS('塗裝各項不良率-明細'!K:K, '塗裝各項不良率-明細'!C:C, A14, '塗裝各項不良率-明細'!I:I, "5SN*") / SUMIFS('塗裝各項不良率-明細'!J:J, '塗裝各項不良率-明細'!C:C, A14, '塗裝各項不良率-明細'!I:I, "5SN*"), 0)</f>
        <v>0</v>
      </c>
    </row>
    <row r="15" spans="1:7" hidden="1">
      <c r="A15" s="75">
        <v>46095</v>
      </c>
      <c r="B15" s="76">
        <f>SUMIF('塗裝各項不良率-明細'!C:C,工作表6!A:A,'塗裝各項不良率-明細'!J:J)</f>
        <v>0</v>
      </c>
      <c r="C15" s="76">
        <f>SUMIF('塗裝各項不良率-明細'!C:C,工作表6!A:A,'塗裝各項不良率-明細'!K:K)</f>
        <v>0</v>
      </c>
      <c r="D15" s="77" t="e">
        <f t="shared" si="1"/>
        <v>#DIV/0!</v>
      </c>
      <c r="E15" s="79">
        <f>IFERROR(SUMIFS('塗裝各項不良率-明細'!K:K, '塗裝各項不良率-明細'!C:C, A15, '塗裝各項不良率-明細'!I:I, "5OE*") / SUMIFS('塗裝各項不良率-明細'!J:J, '塗裝各項不良率-明細'!C:C, A15, '塗裝各項不良率-明細'!I:I, "5OE*"), 0)</f>
        <v>0</v>
      </c>
      <c r="F15" s="79">
        <f>IFERROR(SUMIFS('塗裝各項不良率-明細'!K:K, '塗裝各項不良率-明細'!C:C, A15, '塗裝各項不良率-明細'!I:I, "5PP*") / SUMIFS('塗裝各項不良率-明細'!J:J, '塗裝各項不良率-明細'!C:C, A15, '塗裝各項不良率-明細'!I:I, "5PP*"), 0)</f>
        <v>0</v>
      </c>
      <c r="G15" s="79">
        <f>IFERROR(SUMIFS('塗裝各項不良率-明細'!K:K, '塗裝各項不良率-明細'!C:C, A15, '塗裝各項不良率-明細'!I:I, "5SN*") / SUMIFS('塗裝各項不良率-明細'!J:J, '塗裝各項不良率-明細'!C:C, A15, '塗裝各項不良率-明細'!I:I, "5SN*"), 0)</f>
        <v>0</v>
      </c>
    </row>
    <row r="16" spans="1:7" hidden="1">
      <c r="A16" s="75">
        <v>46096</v>
      </c>
      <c r="B16" s="76">
        <f>SUMIF('塗裝各項不良率-明細'!C:C,工作表6!A:A,'塗裝各項不良率-明細'!J:J)</f>
        <v>0</v>
      </c>
      <c r="C16" s="76">
        <f>SUMIF('塗裝各項不良率-明細'!C:C,工作表6!A:A,'塗裝各項不良率-明細'!K:K)</f>
        <v>0</v>
      </c>
      <c r="D16" s="77" t="e">
        <f t="shared" si="1"/>
        <v>#DIV/0!</v>
      </c>
      <c r="E16" s="79">
        <f>IFERROR(SUMIFS('塗裝各項不良率-明細'!K:K, '塗裝各項不良率-明細'!C:C, A16, '塗裝各項不良率-明細'!I:I, "5OE*") / SUMIFS('塗裝各項不良率-明細'!J:J, '塗裝各項不良率-明細'!C:C, A16, '塗裝各項不良率-明細'!I:I, "5OE*"), 0)</f>
        <v>0</v>
      </c>
      <c r="F16" s="79">
        <f>IFERROR(SUMIFS('塗裝各項不良率-明細'!K:K, '塗裝各項不良率-明細'!C:C, A16, '塗裝各項不良率-明細'!I:I, "5PP*") / SUMIFS('塗裝各項不良率-明細'!J:J, '塗裝各項不良率-明細'!C:C, A16, '塗裝各項不良率-明細'!I:I, "5PP*"), 0)</f>
        <v>0</v>
      </c>
      <c r="G16" s="79">
        <f>IFERROR(SUMIFS('塗裝各項不良率-明細'!K:K, '塗裝各項不良率-明細'!C:C, A16, '塗裝各項不良率-明細'!I:I, "5SN*") / SUMIFS('塗裝各項不良率-明細'!J:J, '塗裝各項不良率-明細'!C:C, A16, '塗裝各項不良率-明細'!I:I, "5SN*"), 0)</f>
        <v>0</v>
      </c>
    </row>
    <row r="17" spans="1:7" hidden="1">
      <c r="A17" s="61">
        <v>46097</v>
      </c>
      <c r="B17" s="60">
        <f>SUMIF('塗裝各項不良率-明細'!C:C,工作表6!A:A,'塗裝各項不良率-明細'!J:J)</f>
        <v>37014</v>
      </c>
      <c r="C17" s="60">
        <f>SUMIF('塗裝各項不良率-明細'!C:C,工作表6!A:A,'塗裝各項不良率-明細'!K:K)</f>
        <v>2398</v>
      </c>
      <c r="D17" s="57">
        <f t="shared" ref="D17:D25" si="2">C17/B17%</f>
        <v>6.4786297076781763</v>
      </c>
      <c r="E17" s="74">
        <f>IFERROR(SUMIFS('塗裝各項不良率-明細'!K:K, '塗裝各項不良率-明細'!C:C, A17, '塗裝各項不良率-明細'!I:I, "5OE*") / SUMIFS('塗裝各項不良率-明細'!J:J, '塗裝各項不良率-明細'!C:C, A17, '塗裝各項不良率-明細'!I:I, "5OE*"), 0)</f>
        <v>6.0979219702800305E-2</v>
      </c>
      <c r="F17" s="74">
        <f>IFERROR(SUMIFS('塗裝各項不良率-明細'!K:K, '塗裝各項不良率-明細'!C:C, A17, '塗裝各項不良率-明細'!I:I, "5PP*") / SUMIFS('塗裝各項不良率-明細'!J:J, '塗裝各項不良率-明細'!C:C, A17, '塗裝各項不良率-明細'!I:I, "5PP*"), 0)</f>
        <v>0.10457920792079207</v>
      </c>
      <c r="G17" s="74">
        <f>IFERROR(SUMIFS('塗裝各項不良率-明細'!K:K, '塗裝各項不良率-明細'!C:C, A17, '塗裝各項不良率-明細'!I:I, "5SN*") / SUMIFS('塗裝各項不良率-明細'!J:J, '塗裝各項不良率-明細'!C:C, A17, '塗裝各項不良率-明細'!I:I, "5SN*"), 0)</f>
        <v>0</v>
      </c>
    </row>
    <row r="18" spans="1:7" hidden="1">
      <c r="A18" s="61">
        <v>46098</v>
      </c>
      <c r="B18" s="60">
        <f>SUMIF('塗裝各項不良率-明細'!C:C,工作表6!A:A,'塗裝各項不良率-明細'!J:J)</f>
        <v>33594</v>
      </c>
      <c r="C18" s="60">
        <f>SUMIF('塗裝各項不良率-明細'!C:C,工作表6!A:A,'塗裝各項不良率-明細'!K:K)</f>
        <v>2095</v>
      </c>
      <c r="D18" s="57">
        <f t="shared" si="2"/>
        <v>6.2362326605941538</v>
      </c>
      <c r="E18" s="74">
        <f>IFERROR(SUMIFS('塗裝各項不良率-明細'!K:K, '塗裝各項不良率-明細'!C:C, A18, '塗裝各項不良率-明細'!I:I, "5OE*") / SUMIFS('塗裝各項不良率-明細'!J:J, '塗裝各項不良率-明細'!C:C, A18, '塗裝各項不良率-明細'!I:I, "5OE*"), 0)</f>
        <v>4.8014652973114413E-2</v>
      </c>
      <c r="F18" s="74">
        <f>IFERROR(SUMIFS('塗裝各項不良率-明細'!K:K, '塗裝各項不良率-明細'!C:C, A18, '塗裝各項不良率-明細'!I:I, "5PP*") / SUMIFS('塗裝各項不良率-明細'!J:J, '塗裝各項不良率-明細'!C:C, A18, '塗裝各項不良率-明細'!I:I, "5PP*"), 0)</f>
        <v>0.2076158940397351</v>
      </c>
      <c r="G18" s="74">
        <f>IFERROR(SUMIFS('塗裝各項不良率-明細'!K:K, '塗裝各項不良率-明細'!C:C, A18, '塗裝各項不良率-明細'!I:I, "5SN*") / SUMIFS('塗裝各項不良率-明細'!J:J, '塗裝各項不良率-明細'!C:C, A18, '塗裝各項不良率-明細'!I:I, "5SN*"), 0)</f>
        <v>0</v>
      </c>
    </row>
    <row r="19" spans="1:7" hidden="1">
      <c r="A19" s="61">
        <v>46099</v>
      </c>
      <c r="B19" s="60">
        <f>SUMIF('塗裝各項不良率-明細'!C:C,工作表6!A:A,'塗裝各項不良率-明細'!J:J)</f>
        <v>32754</v>
      </c>
      <c r="C19" s="60">
        <f>SUMIF('塗裝各項不良率-明細'!C:C,工作表6!A:A,'塗裝各項不良率-明細'!K:K)</f>
        <v>1556</v>
      </c>
      <c r="D19" s="57">
        <f t="shared" si="2"/>
        <v>4.75056481651096</v>
      </c>
      <c r="E19" s="74">
        <f>IFERROR(SUMIFS('塗裝各項不良率-明細'!K:K, '塗裝各項不良率-明細'!C:C, A19, '塗裝各項不良率-明細'!I:I, "5OE*") / SUMIFS('塗裝各項不良率-明細'!J:J, '塗裝各項不良率-明細'!C:C, A19, '塗裝各項不良率-明細'!I:I, "5OE*"), 0)</f>
        <v>3.3381813144954635E-2</v>
      </c>
      <c r="F19" s="74">
        <f>IFERROR(SUMIFS('塗裝各項不良率-明細'!K:K, '塗裝各項不良率-明細'!C:C, A19, '塗裝各項不良率-明細'!I:I, "5PP*") / SUMIFS('塗裝各項不良率-明細'!J:J, '塗裝各項不良率-明細'!C:C, A19, '塗裝各項不良率-明細'!I:I, "5PP*"), 0)</f>
        <v>0.15435010482180295</v>
      </c>
      <c r="G19" s="74">
        <f>IFERROR(SUMIFS('塗裝各項不良率-明細'!K:K, '塗裝各項不良率-明細'!C:C, A19, '塗裝各項不良率-明細'!I:I, "5SN*") / SUMIFS('塗裝各項不良率-明細'!J:J, '塗裝各項不良率-明細'!C:C, A19, '塗裝各項不良率-明細'!I:I, "5SN*"), 0)</f>
        <v>0.05</v>
      </c>
    </row>
    <row r="20" spans="1:7" hidden="1">
      <c r="A20" s="61">
        <v>46100</v>
      </c>
      <c r="B20" s="60">
        <f>SUMIF('塗裝各項不良率-明細'!C:C,工作表6!A:A,'塗裝各項不良率-明細'!J:J)</f>
        <v>32814</v>
      </c>
      <c r="C20" s="60">
        <f>SUMIF('塗裝各項不良率-明細'!C:C,工作表6!A:A,'塗裝各項不良率-明細'!K:K)</f>
        <v>1591</v>
      </c>
      <c r="D20" s="57">
        <f t="shared" si="2"/>
        <v>4.84854025720729</v>
      </c>
      <c r="E20" s="74">
        <f>IFERROR(SUMIFS('塗裝各項不良率-明細'!K:K, '塗裝各項不良率-明細'!C:C, A20, '塗裝各項不良率-明細'!I:I, "5OE*") / SUMIFS('塗裝各項不良率-明細'!J:J, '塗裝各項不良率-明細'!C:C, A20, '塗裝各項不良率-明細'!I:I, "5OE*"), 0)</f>
        <v>3.4279204639602323E-2</v>
      </c>
      <c r="F20" s="74">
        <f>IFERROR(SUMIFS('塗裝各項不良率-明細'!K:K, '塗裝各項不良率-明細'!C:C, A20, '塗裝各項不良率-明細'!I:I, "5PP*") / SUMIFS('塗裝各項不良率-明細'!J:J, '塗裝各項不良率-明細'!C:C, A20, '塗裝各項不良率-明細'!I:I, "5PP*"), 0)</f>
        <v>0.15548621944877794</v>
      </c>
      <c r="G20" s="74">
        <f>IFERROR(SUMIFS('塗裝各項不良率-明細'!K:K, '塗裝各項不良率-明細'!C:C, A20, '塗裝各項不良率-明細'!I:I, "5SN*") / SUMIFS('塗裝各項不良率-明細'!J:J, '塗裝各項不良率-明細'!C:C, A20, '塗裝各項不良率-明細'!I:I, "5SN*"), 0)</f>
        <v>0</v>
      </c>
    </row>
    <row r="21" spans="1:7" hidden="1">
      <c r="A21" s="61">
        <v>46101</v>
      </c>
      <c r="B21" s="60">
        <f>SUMIF('塗裝各項不良率-明細'!C:C,工作表6!A:A,'塗裝各項不良率-明細'!J:J)</f>
        <v>31428</v>
      </c>
      <c r="C21" s="60">
        <f>SUMIF('塗裝各項不良率-明細'!C:C,工作表6!A:A,'塗裝各項不良率-明細'!K:K)</f>
        <v>1297</v>
      </c>
      <c r="D21" s="57">
        <f t="shared" si="2"/>
        <v>4.1268932162402958</v>
      </c>
      <c r="E21" s="74">
        <f>IFERROR(SUMIFS('塗裝各項不良率-明細'!K:K, '塗裝各項不良率-明細'!C:C, A21, '塗裝各項不良率-明細'!I:I, "5OE*") / SUMIFS('塗裝各項不良率-明細'!J:J, '塗裝各項不良率-明細'!C:C, A21, '塗裝各項不良率-明細'!I:I, "5OE*"), 0)</f>
        <v>3.3103592314118628E-2</v>
      </c>
      <c r="F21" s="74">
        <f>IFERROR(SUMIFS('塗裝各項不良率-明細'!K:K, '塗裝各項不良率-明細'!C:C, A21, '塗裝各項不良率-明細'!I:I, "5PP*") / SUMIFS('塗裝各項不良率-明細'!J:J, '塗裝各項不良率-明細'!C:C, A21, '塗裝各項不良率-明細'!I:I, "5PP*"), 0)</f>
        <v>0.12617187499999999</v>
      </c>
      <c r="G21" s="74">
        <f>IFERROR(SUMIFS('塗裝各項不良率-明細'!K:K, '塗裝各項不良率-明細'!C:C, A21, '塗裝各項不良率-明細'!I:I, "5SN*") / SUMIFS('塗裝各項不良率-明細'!J:J, '塗裝各項不良率-明細'!C:C, A21, '塗裝各項不良率-明細'!I:I, "5SN*"), 0)</f>
        <v>0.16428571428571428</v>
      </c>
    </row>
    <row r="22" spans="1:7" hidden="1">
      <c r="A22" s="75">
        <v>46102</v>
      </c>
      <c r="B22" s="76">
        <f>SUMIF('塗裝各項不良率-明細'!C:C,工作表6!A:A,'塗裝各項不良率-明細'!J:J)</f>
        <v>0</v>
      </c>
      <c r="C22" s="76">
        <f>SUMIF('塗裝各項不良率-明細'!C:C,工作表6!A:A,'塗裝各項不良率-明細'!K:K)</f>
        <v>0</v>
      </c>
      <c r="D22" s="77" t="e">
        <f t="shared" si="2"/>
        <v>#DIV/0!</v>
      </c>
      <c r="E22" s="79">
        <f>IFERROR(SUMIFS('塗裝各項不良率-明細'!K:K, '塗裝各項不良率-明細'!C:C, A22, '塗裝各項不良率-明細'!I:I, "5OE*") / SUMIFS('塗裝各項不良率-明細'!J:J, '塗裝各項不良率-明細'!C:C, A22, '塗裝各項不良率-明細'!I:I, "5OE*"), 0)</f>
        <v>0</v>
      </c>
      <c r="F22" s="79">
        <f>IFERROR(SUMIFS('塗裝各項不良率-明細'!K:K, '塗裝各項不良率-明細'!C:C, A22, '塗裝各項不良率-明細'!I:I, "5PP*") / SUMIFS('塗裝各項不良率-明細'!J:J, '塗裝各項不良率-明細'!C:C, A22, '塗裝各項不良率-明細'!I:I, "5PP*"), 0)</f>
        <v>0</v>
      </c>
      <c r="G22" s="79">
        <f>IFERROR(SUMIFS('塗裝各項不良率-明細'!K:K, '塗裝各項不良率-明細'!C:C, A22, '塗裝各項不良率-明細'!I:I, "5SN*") / SUMIFS('塗裝各項不良率-明細'!J:J, '塗裝各項不良率-明細'!C:C, A22, '塗裝各項不良率-明細'!I:I, "5SN*"), 0)</f>
        <v>0</v>
      </c>
    </row>
    <row r="23" spans="1:7" hidden="1">
      <c r="A23" s="75">
        <v>46103</v>
      </c>
      <c r="B23" s="76">
        <f>SUMIF('塗裝各項不良率-明細'!C:C,工作表6!A:A,'塗裝各項不良率-明細'!J:J)</f>
        <v>0</v>
      </c>
      <c r="C23" s="76">
        <f>SUMIF('塗裝各項不良率-明細'!C:C,工作表6!A:A,'塗裝各項不良率-明細'!K:K)</f>
        <v>0</v>
      </c>
      <c r="D23" s="77" t="e">
        <f t="shared" si="2"/>
        <v>#DIV/0!</v>
      </c>
      <c r="E23" s="79">
        <f>IFERROR(SUMIFS('塗裝各項不良率-明細'!K:K, '塗裝各項不良率-明細'!C:C, A23, '塗裝各項不良率-明細'!I:I, "5OE*") / SUMIFS('塗裝各項不良率-明細'!J:J, '塗裝各項不良率-明細'!C:C, A23, '塗裝各項不良率-明細'!I:I, "5OE*"), 0)</f>
        <v>0</v>
      </c>
      <c r="F23" s="79">
        <f>IFERROR(SUMIFS('塗裝各項不良率-明細'!K:K, '塗裝各項不良率-明細'!C:C, A23, '塗裝各項不良率-明細'!I:I, "5PP*") / SUMIFS('塗裝各項不良率-明細'!J:J, '塗裝各項不良率-明細'!C:C, A23, '塗裝各項不良率-明細'!I:I, "5PP*"), 0)</f>
        <v>0</v>
      </c>
      <c r="G23" s="79">
        <f>IFERROR(SUMIFS('塗裝各項不良率-明細'!K:K, '塗裝各項不良率-明細'!C:C, A23, '塗裝各項不良率-明細'!I:I, "5SN*") / SUMIFS('塗裝各項不良率-明細'!J:J, '塗裝各項不良率-明細'!C:C, A23, '塗裝各項不良率-明細'!I:I, "5SN*"), 0)</f>
        <v>0</v>
      </c>
    </row>
    <row r="24" spans="1:7" hidden="1">
      <c r="A24" s="61">
        <v>46104</v>
      </c>
      <c r="B24" s="60">
        <f>SUMIF('塗裝各項不良率-明細'!C:C,工作表6!A:A,'塗裝各項不良率-明細'!J:J)</f>
        <v>29960</v>
      </c>
      <c r="C24" s="60">
        <f>SUMIF('塗裝各項不良率-明細'!C:C,工作表6!A:A,'塗裝各項不良率-明細'!K:K)</f>
        <v>1088</v>
      </c>
      <c r="D24" s="57">
        <f t="shared" si="2"/>
        <v>3.6315086782376498</v>
      </c>
      <c r="E24" s="74">
        <f>IFERROR(SUMIFS('塗裝各項不良率-明細'!K:K, '塗裝各項不良率-明細'!C:C, A24, '塗裝各項不良率-明細'!I:I, "5OE*") / SUMIFS('塗裝各項不良率-明細'!J:J, '塗裝各項不良率-明細'!C:C, A24, '塗裝各項不良率-明細'!I:I, "5OE*"), 0)</f>
        <v>2.6315789473684209E-2</v>
      </c>
      <c r="F24" s="74">
        <f>IFERROR(SUMIFS('塗裝各項不良率-明細'!K:K, '塗裝各項不良率-明細'!C:C, A24, '塗裝各項不良率-明細'!I:I, "5PP*") / SUMIFS('塗裝各項不良率-明細'!J:J, '塗裝各項不良率-明細'!C:C, A24, '塗裝各項不良率-明細'!I:I, "5PP*"), 0)</f>
        <v>0.11547619047619048</v>
      </c>
      <c r="G24" s="74">
        <f>IFERROR(SUMIFS('塗裝各項不良率-明細'!K:K, '塗裝各項不良率-明細'!C:C, A24, '塗裝各項不良率-明細'!I:I, "5SN*") / SUMIFS('塗裝各項不良率-明細'!J:J, '塗裝各項不良率-明細'!C:C, A24, '塗裝各項不良率-明細'!I:I, "5SN*"), 0)</f>
        <v>0</v>
      </c>
    </row>
    <row r="25" spans="1:7" hidden="1">
      <c r="A25" s="61">
        <v>46105</v>
      </c>
      <c r="B25" s="60">
        <f>SUMIF('塗裝各項不良率-明細'!C:C,工作表6!A:A,'塗裝各項不良率-明細'!J:J)</f>
        <v>28750</v>
      </c>
      <c r="C25" s="60">
        <f>SUMIF('塗裝各項不良率-明細'!C:C,工作表6!A:A,'塗裝各項不良率-明細'!K:K)</f>
        <v>1695</v>
      </c>
      <c r="D25" s="57">
        <f t="shared" si="2"/>
        <v>5.8956521739130432</v>
      </c>
      <c r="E25" s="74">
        <f>IFERROR(SUMIFS('塗裝各項不良率-明細'!K:K, '塗裝各項不良率-明細'!C:C, A25, '塗裝各項不良率-明細'!I:I, "5OE*") / SUMIFS('塗裝各項不良率-明細'!J:J, '塗裝各項不良率-明細'!C:C, A25, '塗裝各項不良率-明細'!I:I, "5OE*"), 0)</f>
        <v>5.0864661654135342E-2</v>
      </c>
      <c r="F25" s="74">
        <f>IFERROR(SUMIFS('塗裝各項不良率-明細'!K:K, '塗裝各項不良率-明細'!C:C, A25, '塗裝各項不良率-明細'!I:I, "5PP*") / SUMIFS('塗裝各項不良率-明細'!J:J, '塗裝各項不良率-明細'!C:C, A25, '塗裝各項不良率-明細'!I:I, "5PP*"), 0)</f>
        <v>0.16376811594202897</v>
      </c>
      <c r="G25" s="74">
        <f>IFERROR(SUMIFS('塗裝各項不良率-明細'!K:K, '塗裝各項不良率-明細'!C:C, A25, '塗裝各項不良率-明細'!I:I, "5SN*") / SUMIFS('塗裝各項不良率-明細'!J:J, '塗裝各項不良率-明細'!C:C, A25, '塗裝各項不良率-明細'!I:I, "5SN*"), 0)</f>
        <v>3.7499999999999999E-2</v>
      </c>
    </row>
    <row r="26" spans="1:7" hidden="1">
      <c r="A26" s="61">
        <v>46106</v>
      </c>
      <c r="B26" s="60">
        <f>SUMIF('塗裝各項不良率-明細'!C:C,工作表6!A:A,'塗裝各項不良率-明細'!J:J)</f>
        <v>39140</v>
      </c>
      <c r="C26" s="60">
        <f>SUMIF('塗裝各項不良率-明細'!C:C,工作表6!A:A,'塗裝各項不良率-明細'!K:K)</f>
        <v>1826</v>
      </c>
      <c r="D26" s="57">
        <f t="shared" ref="D26:D32" si="3">C26/B26%</f>
        <v>4.6653040367910066</v>
      </c>
      <c r="E26" s="74">
        <f>IFERROR(SUMIFS('塗裝各項不良率-明細'!K:K, '塗裝各項不良率-明細'!C:C, A26, '塗裝各項不良率-明細'!I:I, "5OE*") / SUMIFS('塗裝各項不良率-明細'!J:J, '塗裝各項不良率-明細'!C:C, A26, '塗裝各項不良率-明細'!I:I, "5OE*"), 0)</f>
        <v>3.7511586064009596E-2</v>
      </c>
      <c r="F26" s="74">
        <f>IFERROR(SUMIFS('塗裝各項不良率-明細'!K:K, '塗裝各項不良率-明細'!C:C, A26, '塗裝各項不良率-明細'!I:I, "5PP*") / SUMIFS('塗裝各項不良率-明細'!J:J, '塗裝各項不良率-明細'!C:C, A26, '塗裝各項不良率-明細'!I:I, "5PP*"), 0)</f>
        <v>0.18307567127746135</v>
      </c>
      <c r="G26" s="74">
        <f>IFERROR(SUMIFS('塗裝各項不良率-明細'!K:K, '塗裝各項不良率-明細'!C:C, A26, '塗裝各項不良率-明細'!I:I, "5SN*") / SUMIFS('塗裝各項不良率-明細'!J:J, '塗裝各項不良率-明細'!C:C, A26, '塗裝各項不良率-明細'!I:I, "5SN*"), 0)</f>
        <v>0</v>
      </c>
    </row>
    <row r="27" spans="1:7" hidden="1">
      <c r="A27" s="61">
        <v>46107</v>
      </c>
      <c r="B27" s="60">
        <f>SUMIF('塗裝各項不良率-明細'!C:C,工作表6!A:A,'塗裝各項不良率-明細'!J:J)</f>
        <v>39584</v>
      </c>
      <c r="C27" s="60">
        <f>SUMIF('塗裝各項不良率-明細'!C:C,工作表6!A:A,'塗裝各項不良率-明細'!K:K)</f>
        <v>2011</v>
      </c>
      <c r="D27" s="57">
        <f t="shared" si="3"/>
        <v>5.0803354890865</v>
      </c>
      <c r="E27" s="74">
        <f>IFERROR(SUMIFS('塗裝各項不良率-明細'!K:K, '塗裝各項不良率-明細'!C:C, A27, '塗裝各項不良率-明細'!I:I, "5OE*") / SUMIFS('塗裝各項不良率-明細'!J:J, '塗裝各項不良率-明細'!C:C, A27, '塗裝各項不良率-明細'!I:I, "5OE*"), 0)</f>
        <v>4.3219159008632692E-2</v>
      </c>
      <c r="F27" s="74">
        <f>IFERROR(SUMIFS('塗裝各項不良率-明細'!K:K, '塗裝各項不良率-明細'!C:C, A27, '塗裝各項不良率-明細'!I:I, "5PP*") / SUMIFS('塗裝各項不良率-明細'!J:J, '塗裝各項不良率-明細'!C:C, A27, '塗裝各項不良率-明細'!I:I, "5PP*"), 0)</f>
        <v>0.12458836443468715</v>
      </c>
      <c r="G27" s="74">
        <f>IFERROR(SUMIFS('塗裝各項不良率-明細'!K:K, '塗裝各項不良率-明細'!C:C, A27, '塗裝各項不良率-明細'!I:I, "5SN*") / SUMIFS('塗裝各項不良率-明細'!J:J, '塗裝各項不良率-明細'!C:C, A27, '塗裝各項不良率-明細'!I:I, "5SN*"), 0)</f>
        <v>0.16666666666666666</v>
      </c>
    </row>
    <row r="28" spans="1:7" hidden="1">
      <c r="A28" s="61">
        <v>46108</v>
      </c>
      <c r="B28" s="60">
        <f>SUMIF('塗裝各項不良率-明細'!C:C,工作表6!A:A,'塗裝各項不良率-明細'!J:J)</f>
        <v>29904</v>
      </c>
      <c r="C28" s="60">
        <f>SUMIF('塗裝各項不良率-明細'!C:C,工作表6!A:A,'塗裝各項不良率-明細'!K:K)</f>
        <v>1832</v>
      </c>
      <c r="D28" s="57">
        <f t="shared" si="3"/>
        <v>6.1262707330123058</v>
      </c>
      <c r="E28" s="74">
        <f>IFERROR(SUMIFS('塗裝各項不良率-明細'!K:K, '塗裝各項不良率-明細'!C:C, A28, '塗裝各項不良率-明細'!I:I, "5OE*") / SUMIFS('塗裝各項不良率-明細'!J:J, '塗裝各項不良率-明細'!C:C, A28, '塗裝各項不良率-明細'!I:I, "5OE*"), 0)</f>
        <v>5.2270098322729899E-2</v>
      </c>
      <c r="F28" s="74">
        <f>IFERROR(SUMIFS('塗裝各項不良率-明細'!K:K, '塗裝各項不良率-明細'!C:C, A28, '塗裝各項不良率-明細'!I:I, "5PP*") / SUMIFS('塗裝各項不良率-明細'!J:J, '塗裝各項不良率-明細'!C:C, A28, '塗裝各項不良率-明細'!I:I, "5PP*"), 0)</f>
        <v>0.17232142857142857</v>
      </c>
      <c r="G28" s="74">
        <f>IFERROR(SUMIFS('塗裝各項不良率-明細'!K:K, '塗裝各項不良率-明細'!C:C, A28, '塗裝各項不良率-明細'!I:I, "5SN*") / SUMIFS('塗裝各項不良率-明細'!J:J, '塗裝各項不良率-明細'!C:C, A28, '塗裝各項不良率-明細'!I:I, "5SN*"), 0)</f>
        <v>0</v>
      </c>
    </row>
    <row r="29" spans="1:7" hidden="1">
      <c r="A29" s="75">
        <v>46109</v>
      </c>
      <c r="B29" s="76">
        <f>SUMIF('塗裝各項不良率-明細'!C:C,工作表6!A:A,'塗裝各項不良率-明細'!J:J)</f>
        <v>0</v>
      </c>
      <c r="C29" s="76">
        <f>SUMIF('塗裝各項不良率-明細'!C:C,工作表6!A:A,'塗裝各項不良率-明細'!K:K)</f>
        <v>0</v>
      </c>
      <c r="D29" s="77" t="e">
        <f t="shared" si="3"/>
        <v>#DIV/0!</v>
      </c>
      <c r="E29" s="79">
        <f>IFERROR(SUMIFS('塗裝各項不良率-明細'!K:K, '塗裝各項不良率-明細'!C:C, A29, '塗裝各項不良率-明細'!I:I, "5OE*") / SUMIFS('塗裝各項不良率-明細'!J:J, '塗裝各項不良率-明細'!C:C, A29, '塗裝各項不良率-明細'!I:I, "5OE*"), 0)</f>
        <v>0</v>
      </c>
      <c r="F29" s="79">
        <f>IFERROR(SUMIFS('塗裝各項不良率-明細'!K:K, '塗裝各項不良率-明細'!C:C, A29, '塗裝各項不良率-明細'!I:I, "5PP*") / SUMIFS('塗裝各項不良率-明細'!J:J, '塗裝各項不良率-明細'!C:C, A29, '塗裝各項不良率-明細'!I:I, "5PP*"), 0)</f>
        <v>0</v>
      </c>
      <c r="G29" s="79">
        <f>IFERROR(SUMIFS('塗裝各項不良率-明細'!K:K, '塗裝各項不良率-明細'!C:C, A29, '塗裝各項不良率-明細'!I:I, "5SN*") / SUMIFS('塗裝各項不良率-明細'!J:J, '塗裝各項不良率-明細'!C:C, A29, '塗裝各項不良率-明細'!I:I, "5SN*"), 0)</f>
        <v>0</v>
      </c>
    </row>
    <row r="30" spans="1:7" hidden="1">
      <c r="A30" s="75">
        <v>46110</v>
      </c>
      <c r="B30" s="76">
        <f>SUMIF('塗裝各項不良率-明細'!C:C,工作表6!A:A,'塗裝各項不良率-明細'!J:J)</f>
        <v>0</v>
      </c>
      <c r="C30" s="76">
        <f>SUMIF('塗裝各項不良率-明細'!C:C,工作表6!A:A,'塗裝各項不良率-明細'!K:K)</f>
        <v>0</v>
      </c>
      <c r="D30" s="77" t="e">
        <f t="shared" si="3"/>
        <v>#DIV/0!</v>
      </c>
      <c r="E30" s="79">
        <f>IFERROR(SUMIFS('塗裝各項不良率-明細'!K:K, '塗裝各項不良率-明細'!C:C, A30, '塗裝各項不良率-明細'!I:I, "5OE*") / SUMIFS('塗裝各項不良率-明細'!J:J, '塗裝各項不良率-明細'!C:C, A30, '塗裝各項不良率-明細'!I:I, "5OE*"), 0)</f>
        <v>0</v>
      </c>
      <c r="F30" s="79">
        <f>IFERROR(SUMIFS('塗裝各項不良率-明細'!K:K, '塗裝各項不良率-明細'!C:C, A30, '塗裝各項不良率-明細'!I:I, "5PP*") / SUMIFS('塗裝各項不良率-明細'!J:J, '塗裝各項不良率-明細'!C:C, A30, '塗裝各項不良率-明細'!I:I, "5PP*"), 0)</f>
        <v>0</v>
      </c>
      <c r="G30" s="79">
        <f>IFERROR(SUMIFS('塗裝各項不良率-明細'!K:K, '塗裝各項不良率-明細'!C:C, A30, '塗裝各項不良率-明細'!I:I, "5SN*") / SUMIFS('塗裝各項不良率-明細'!J:J, '塗裝各項不良率-明細'!C:C, A30, '塗裝各項不良率-明細'!I:I, "5SN*"), 0)</f>
        <v>0</v>
      </c>
    </row>
    <row r="31" spans="1:7" hidden="1">
      <c r="A31" s="61">
        <v>46111</v>
      </c>
      <c r="B31" s="60">
        <f>SUMIF('塗裝各項不良率-明細'!C:C,工作表6!A:A,'塗裝各項不良率-明細'!J:J)</f>
        <v>31046</v>
      </c>
      <c r="C31" s="60">
        <f>SUMIF('塗裝各項不良率-明細'!C:C,工作表6!A:A,'塗裝各項不良率-明細'!K:K)</f>
        <v>1729</v>
      </c>
      <c r="D31" s="57">
        <f t="shared" si="3"/>
        <v>5.5691554467564259</v>
      </c>
      <c r="E31" s="74">
        <f>IFERROR(SUMIFS('塗裝各項不良率-明細'!K:K, '塗裝各項不良率-明細'!C:C, A31, '塗裝各項不良率-明細'!I:I, "5OE*") / SUMIFS('塗裝各項不良率-明細'!J:J, '塗裝各項不良率-明細'!C:C, A31, '塗裝各項不良率-明細'!I:I, "5OE*"), 0)</f>
        <v>5.0468151510852606E-2</v>
      </c>
      <c r="F31" s="74">
        <f>IFERROR(SUMIFS('塗裝各項不良率-明細'!K:K, '塗裝各項不良率-明細'!C:C, A31, '塗裝各項不良率-明細'!I:I, "5PP*") / SUMIFS('塗裝各項不良率-明細'!J:J, '塗裝各項不良率-明細'!C:C, A31, '塗裝各項不良率-明細'!I:I, "5PP*"), 0)</f>
        <v>0.10736842105263159</v>
      </c>
      <c r="G31" s="74">
        <f>IFERROR(SUMIFS('塗裝各項不良率-明細'!K:K, '塗裝各項不良率-明細'!C:C, A31, '塗裝各項不良率-明細'!I:I, "5SN*") / SUMIFS('塗裝各項不良率-明細'!J:J, '塗裝各項不良率-明細'!C:C, A31, '塗裝各項不良率-明細'!I:I, "5SN*"), 0)</f>
        <v>0</v>
      </c>
    </row>
    <row r="32" spans="1:7" hidden="1">
      <c r="A32" s="61">
        <v>46112</v>
      </c>
      <c r="B32" s="60">
        <f>SUMIF('塗裝各項不良率-明細'!C:C,工作表6!A:A,'塗裝各項不良率-明細'!J:J)</f>
        <v>21526</v>
      </c>
      <c r="C32" s="60">
        <f>SUMIF('塗裝各項不良率-明細'!C:C,工作表6!A:A,'塗裝各項不良率-明細'!K:K)</f>
        <v>795</v>
      </c>
      <c r="D32" s="57">
        <f t="shared" si="3"/>
        <v>3.6932082133234232</v>
      </c>
      <c r="E32" s="74">
        <f>IFERROR(SUMIFS('塗裝各項不良率-明細'!K:K, '塗裝各項不良率-明細'!C:C, A32, '塗裝各項不良率-明細'!I:I, "5OE*") / SUMIFS('塗裝各項不良率-明細'!J:J, '塗裝各項不良率-明細'!C:C, A32, '塗裝各項不良率-明細'!I:I, "5OE*"), 0)</f>
        <v>2.9754204398447608E-2</v>
      </c>
      <c r="F32" s="74">
        <f>IFERROR(SUMIFS('塗裝各項不良率-明細'!K:K, '塗裝各項不良率-明細'!C:C, A32, '塗裝各項不良率-明細'!I:I, "5PP*") / SUMIFS('塗裝各項不良率-明細'!J:J, '塗裝各項不良率-明細'!C:C, A32, '塗裝各項不良率-明細'!I:I, "5PP*"), 0)</f>
        <v>8.1708137188971089E-2</v>
      </c>
      <c r="G32" s="74">
        <f>IFERROR(SUMIFS('塗裝各項不良率-明細'!K:K, '塗裝各項不良率-明細'!C:C, A32, '塗裝各項不良率-明細'!I:I, "5SN*") / SUMIFS('塗裝各項不良率-明細'!J:J, '塗裝各項不良率-明細'!C:C, A32, '塗裝各項不良率-明細'!I:I, "5SN*"), 0)</f>
        <v>0</v>
      </c>
    </row>
    <row r="33" spans="1:7" hidden="1">
      <c r="A33" s="89"/>
      <c r="B33" s="90"/>
      <c r="C33" s="90"/>
      <c r="D33" s="91"/>
      <c r="E33" s="69"/>
      <c r="F33" s="69"/>
      <c r="G33" s="69"/>
    </row>
    <row r="34" spans="1:7" hidden="1">
      <c r="A34" s="62">
        <v>46113</v>
      </c>
      <c r="B34" s="60">
        <f>SUMIF('塗裝各項不良率-明細'!C:C,工作表6!A:A,'塗裝各項不良率-明細'!J:J)</f>
        <v>32688</v>
      </c>
      <c r="C34" s="60">
        <f>SUMIF('塗裝各項不良率-明細'!C:C,工作表6!A:A,'塗裝各項不良率-明細'!K:K)</f>
        <v>1349</v>
      </c>
      <c r="D34" s="57">
        <f>C34/B34%</f>
        <v>4.1268967205090554</v>
      </c>
      <c r="E34" s="74">
        <f>IFERROR(SUMIFS('塗裝各項不良率-明細'!K:K, '塗裝各項不良率-明細'!C:C, A34, '塗裝各項不良率-明細'!I:I, "5OE*") / SUMIFS('塗裝各項不良率-明細'!J:J, '塗裝各項不良率-明細'!C:C, A34, '塗裝各項不良率-明細'!I:I, "5OE*"), 0)</f>
        <v>3.9600057339449539E-2</v>
      </c>
      <c r="F34" s="74">
        <f>IFERROR(SUMIFS('塗裝各項不良率-明細'!K:K, '塗裝各項不良率-明細'!C:C, A34, '塗裝各項不良率-明細'!I:I, "5PP*") / SUMIFS('塗裝各項不良率-明細'!J:J, '塗裝各項不良率-明細'!C:C, A34, '塗裝各項不良率-明細'!I:I, "5PP*"), 0)</f>
        <v>5.1003344481605352E-2</v>
      </c>
      <c r="G34" s="74">
        <f>IFERROR(SUMIFS('塗裝各項不良率-明細'!K:K, '塗裝各項不良率-明細'!C:C, A34, '塗裝各項不良率-明細'!I:I, "5SN*") / SUMIFS('塗裝各項不良率-明細'!J:J, '塗裝各項不良率-明細'!C:C, A34, '塗裝各項不良率-明細'!I:I, "5SN*"), 0)</f>
        <v>0</v>
      </c>
    </row>
    <row r="35" spans="1:7" hidden="1">
      <c r="A35" s="62">
        <v>46114</v>
      </c>
      <c r="B35" s="60">
        <f>SUMIF('塗裝各項不良率-明細'!C:C,工作表6!A:A,'塗裝各項不良率-明細'!J:J)</f>
        <v>43334</v>
      </c>
      <c r="C35" s="60">
        <f>SUMIF('塗裝各項不良率-明細'!C:C,工作表6!A:A,'塗裝各項不良率-明細'!K:K)</f>
        <v>2666</v>
      </c>
      <c r="D35" s="57">
        <f t="shared" ref="D35:D63" si="4">C35/B35%</f>
        <v>6.152213042876264</v>
      </c>
      <c r="E35" s="74">
        <f>IFERROR(SUMIFS('塗裝各項不良率-明細'!K:K, '塗裝各項不良率-明細'!C:C, A35, '塗裝各項不良率-明細'!I:I, "5OE*") / SUMIFS('塗裝各項不良率-明細'!J:J, '塗裝各項不良率-明細'!C:C, A35, '塗裝各項不良率-明細'!I:I, "5OE*"), 0)</f>
        <v>6.0869983639688194E-2</v>
      </c>
      <c r="F35" s="74">
        <f>IFERROR(SUMIFS('塗裝各項不良率-明細'!K:K, '塗裝各項不良率-明細'!C:C, A35, '塗裝各項不良率-明細'!I:I, "5PP*") / SUMIFS('塗裝各項不良率-明細'!J:J, '塗裝各項不良率-明細'!C:C, A35, '塗裝各項不良率-明細'!I:I, "5PP*"), 0)</f>
        <v>7.559523809523809E-2</v>
      </c>
      <c r="G35" s="74">
        <f>IFERROR(SUMIFS('塗裝各項不良率-明細'!K:K, '塗裝各項不良率-明細'!C:C, A35, '塗裝各項不良率-明細'!I:I, "5SN*") / SUMIFS('塗裝各項不良率-明細'!J:J, '塗裝各項不良率-明細'!C:C, A35, '塗裝各項不良率-明細'!I:I, "5SN*"), 0)</f>
        <v>0.1</v>
      </c>
    </row>
    <row r="36" spans="1:7" hidden="1">
      <c r="A36" s="75">
        <v>46115</v>
      </c>
      <c r="B36" s="76">
        <f>SUMIF('塗裝各項不良率-明細'!C:C,工作表6!A:A,'塗裝各項不良率-明細'!J:J)</f>
        <v>0</v>
      </c>
      <c r="C36" s="76">
        <f>SUMIF('塗裝各項不良率-明細'!C:C,工作表6!A:A,'塗裝各項不良率-明細'!K:K)</f>
        <v>0</v>
      </c>
      <c r="D36" s="77" t="e">
        <f t="shared" si="4"/>
        <v>#DIV/0!</v>
      </c>
      <c r="E36" s="79">
        <f>IFERROR(SUMIFS('塗裝各項不良率-明細'!K:K, '塗裝各項不良率-明細'!C:C, A36, '塗裝各項不良率-明細'!I:I, "5OE*") / SUMIFS('塗裝各項不良率-明細'!J:J, '塗裝各項不良率-明細'!C:C, A36, '塗裝各項不良率-明細'!I:I, "5OE*"), 0)</f>
        <v>0</v>
      </c>
      <c r="F36" s="79">
        <f>IFERROR(SUMIFS('塗裝各項不良率-明細'!K:K, '塗裝各項不良率-明細'!C:C, A36, '塗裝各項不良率-明細'!I:I, "5PP*") / SUMIFS('塗裝各項不良率-明細'!J:J, '塗裝各項不良率-明細'!C:C, A36, '塗裝各項不良率-明細'!I:I, "5PP*"), 0)</f>
        <v>0</v>
      </c>
      <c r="G36" s="79">
        <f>IFERROR(SUMIFS('塗裝各項不良率-明細'!K:K, '塗裝各項不良率-明細'!C:C, A36, '塗裝各項不良率-明細'!I:I, "5SN*") / SUMIFS('塗裝各項不良率-明細'!J:J, '塗裝各項不良率-明細'!C:C, A36, '塗裝各項不良率-明細'!I:I, "5SN*"), 0)</f>
        <v>0</v>
      </c>
    </row>
    <row r="37" spans="1:7" hidden="1">
      <c r="A37" s="75">
        <v>46116</v>
      </c>
      <c r="B37" s="76">
        <f>SUMIF('塗裝各項不良率-明細'!C:C,工作表6!A:A,'塗裝各項不良率-明細'!J:J)</f>
        <v>0</v>
      </c>
      <c r="C37" s="76">
        <f>SUMIF('塗裝各項不良率-明細'!C:C,工作表6!A:A,'塗裝各項不良率-明細'!K:K)</f>
        <v>0</v>
      </c>
      <c r="D37" s="77" t="e">
        <f t="shared" si="4"/>
        <v>#DIV/0!</v>
      </c>
      <c r="E37" s="79">
        <f>IFERROR(SUMIFS('塗裝各項不良率-明細'!K:K, '塗裝各項不良率-明細'!C:C, A37, '塗裝各項不良率-明細'!I:I, "5OE*") / SUMIFS('塗裝各項不良率-明細'!J:J, '塗裝各項不良率-明細'!C:C, A37, '塗裝各項不良率-明細'!I:I, "5OE*"), 0)</f>
        <v>0</v>
      </c>
      <c r="F37" s="79">
        <f>IFERROR(SUMIFS('塗裝各項不良率-明細'!K:K, '塗裝各項不良率-明細'!C:C, A37, '塗裝各項不良率-明細'!I:I, "5PP*") / SUMIFS('塗裝各項不良率-明細'!J:J, '塗裝各項不良率-明細'!C:C, A37, '塗裝各項不良率-明細'!I:I, "5PP*"), 0)</f>
        <v>0</v>
      </c>
      <c r="G37" s="79">
        <f>IFERROR(SUMIFS('塗裝各項不良率-明細'!K:K, '塗裝各項不良率-明細'!C:C, A37, '塗裝各項不良率-明細'!I:I, "5SN*") / SUMIFS('塗裝各項不良率-明細'!J:J, '塗裝各項不良率-明細'!C:C, A37, '塗裝各項不良率-明細'!I:I, "5SN*"), 0)</f>
        <v>0</v>
      </c>
    </row>
    <row r="38" spans="1:7" hidden="1">
      <c r="A38" s="75">
        <v>46117</v>
      </c>
      <c r="B38" s="76">
        <f>SUMIF('塗裝各項不良率-明細'!C:C,工作表6!A:A,'塗裝各項不良率-明細'!J:J)</f>
        <v>0</v>
      </c>
      <c r="C38" s="76">
        <f>SUMIF('塗裝各項不良率-明細'!C:C,工作表6!A:A,'塗裝各項不良率-明細'!K:K)</f>
        <v>0</v>
      </c>
      <c r="D38" s="77" t="e">
        <f t="shared" si="4"/>
        <v>#DIV/0!</v>
      </c>
      <c r="E38" s="79">
        <f>IFERROR(SUMIFS('塗裝各項不良率-明細'!K:K, '塗裝各項不良率-明細'!C:C, A38, '塗裝各項不良率-明細'!I:I, "5OE*") / SUMIFS('塗裝各項不良率-明細'!J:J, '塗裝各項不良率-明細'!C:C, A38, '塗裝各項不良率-明細'!I:I, "5OE*"), 0)</f>
        <v>0</v>
      </c>
      <c r="F38" s="79">
        <f>IFERROR(SUMIFS('塗裝各項不良率-明細'!K:K, '塗裝各項不良率-明細'!C:C, A38, '塗裝各項不良率-明細'!I:I, "5PP*") / SUMIFS('塗裝各項不良率-明細'!J:J, '塗裝各項不良率-明細'!C:C, A38, '塗裝各項不良率-明細'!I:I, "5PP*"), 0)</f>
        <v>0</v>
      </c>
      <c r="G38" s="79">
        <f>IFERROR(SUMIFS('塗裝各項不良率-明細'!K:K, '塗裝各項不良率-明細'!C:C, A38, '塗裝各項不良率-明細'!I:I, "5SN*") / SUMIFS('塗裝各項不良率-明細'!J:J, '塗裝各項不良率-明細'!C:C, A38, '塗裝各項不良率-明細'!I:I, "5SN*"), 0)</f>
        <v>0</v>
      </c>
    </row>
    <row r="39" spans="1:7" hidden="1">
      <c r="A39" s="75">
        <v>46118</v>
      </c>
      <c r="B39" s="76">
        <f>SUMIF('塗裝各項不良率-明細'!C:C,工作表6!A:A,'塗裝各項不良率-明細'!J:J)</f>
        <v>0</v>
      </c>
      <c r="C39" s="76">
        <f>SUMIF('塗裝各項不良率-明細'!C:C,工作表6!A:A,'塗裝各項不良率-明細'!K:K)</f>
        <v>0</v>
      </c>
      <c r="D39" s="77" t="e">
        <f t="shared" si="4"/>
        <v>#DIV/0!</v>
      </c>
      <c r="E39" s="79">
        <f>IFERROR(SUMIFS('塗裝各項不良率-明細'!K:K, '塗裝各項不良率-明細'!C:C, A39, '塗裝各項不良率-明細'!I:I, "5OE*") / SUMIFS('塗裝各項不良率-明細'!J:J, '塗裝各項不良率-明細'!C:C, A39, '塗裝各項不良率-明細'!I:I, "5OE*"), 0)</f>
        <v>0</v>
      </c>
      <c r="F39" s="79">
        <f>IFERROR(SUMIFS('塗裝各項不良率-明細'!K:K, '塗裝各項不良率-明細'!C:C, A39, '塗裝各項不良率-明細'!I:I, "5PP*") / SUMIFS('塗裝各項不良率-明細'!J:J, '塗裝各項不良率-明細'!C:C, A39, '塗裝各項不良率-明細'!I:I, "5PP*"), 0)</f>
        <v>0</v>
      </c>
      <c r="G39" s="79">
        <f>IFERROR(SUMIFS('塗裝各項不良率-明細'!K:K, '塗裝各項不良率-明細'!C:C, A39, '塗裝各項不良率-明細'!I:I, "5SN*") / SUMIFS('塗裝各項不良率-明細'!J:J, '塗裝各項不良率-明細'!C:C, A39, '塗裝各項不良率-明細'!I:I, "5SN*"), 0)</f>
        <v>0</v>
      </c>
    </row>
    <row r="40" spans="1:7" hidden="1">
      <c r="A40" s="62">
        <v>46119</v>
      </c>
      <c r="B40" s="60">
        <f>SUMIF('塗裝各項不良率-明細'!C:C,工作表6!A:A,'塗裝各項不良率-明細'!J:J)</f>
        <v>34682</v>
      </c>
      <c r="C40" s="60">
        <f>SUMIF('塗裝各項不良率-明細'!C:C,工作表6!A:A,'塗裝各項不良率-明細'!K:K)</f>
        <v>1545</v>
      </c>
      <c r="D40" s="57">
        <f t="shared" si="4"/>
        <v>4.4547603944409202</v>
      </c>
      <c r="E40" s="74">
        <f>IFERROR(SUMIFS('塗裝各項不良率-明細'!K:K, '塗裝各項不良率-明細'!C:C, A40, '塗裝各項不良率-明細'!I:I, "5OE*") / SUMIFS('塗裝各項不良率-明細'!J:J, '塗裝各項不良率-明細'!C:C, A40, '塗裝各項不良率-明細'!I:I, "5OE*"), 0)</f>
        <v>3.3933698773166272E-2</v>
      </c>
      <c r="F40" s="74">
        <f>IFERROR(SUMIFS('塗裝各項不良率-明細'!K:K, '塗裝各項不良率-明細'!C:C, A40, '塗裝各項不良率-明細'!I:I, "5PP*") / SUMIFS('塗裝各項不良率-明細'!J:J, '塗裝各項不良率-明細'!C:C, A40, '塗裝各項不良率-明細'!I:I, "5PP*"), 0)</f>
        <v>0.12518591968269707</v>
      </c>
      <c r="G40" s="74">
        <f>IFERROR(SUMIFS('塗裝各項不良率-明細'!K:K, '塗裝各項不良率-明細'!C:C, A40, '塗裝各項不良率-明細'!I:I, "5SN*") / SUMIFS('塗裝各項不良率-明細'!J:J, '塗裝各項不良率-明細'!C:C, A40, '塗裝各項不良率-明細'!I:I, "5SN*"), 0)</f>
        <v>0</v>
      </c>
    </row>
    <row r="41" spans="1:7" hidden="1">
      <c r="A41" s="62">
        <v>46120</v>
      </c>
      <c r="B41" s="60">
        <f>SUMIF('塗裝各項不良率-明細'!C:C,工作表6!A:A,'塗裝各項不良率-明細'!J:J)</f>
        <v>31774</v>
      </c>
      <c r="C41" s="60">
        <f>SUMIF('塗裝各項不良率-明細'!C:C,工作表6!A:A,'塗裝各項不良率-明細'!K:K)</f>
        <v>1898</v>
      </c>
      <c r="D41" s="57">
        <f t="shared" si="4"/>
        <v>5.9734374016491465</v>
      </c>
      <c r="E41" s="74">
        <f>IFERROR(SUMIFS('塗裝各項不良率-明細'!K:K, '塗裝各項不良率-明細'!C:C, A41, '塗裝各項不良率-明細'!I:I, "5OE*") / SUMIFS('塗裝各項不良率-明細'!J:J, '塗裝各項不良率-明細'!C:C, A41, '塗裝各項不良率-明細'!I:I, "5OE*"), 0)</f>
        <v>4.8354832034213972E-2</v>
      </c>
      <c r="F41" s="74">
        <f>IFERROR(SUMIFS('塗裝各項不良率-明細'!K:K, '塗裝各項不良率-明細'!C:C, A41, '塗裝各項不良率-明細'!I:I, "5PP*") / SUMIFS('塗裝各項不良率-明細'!J:J, '塗裝各項不良率-明細'!C:C, A41, '塗裝各項不良率-明細'!I:I, "5PP*"), 0)</f>
        <v>0.17941176470588235</v>
      </c>
      <c r="G41" s="74">
        <f>IFERROR(SUMIFS('塗裝各項不良率-明細'!K:K, '塗裝各項不良率-明細'!C:C, A41, '塗裝各項不良率-明細'!I:I, "5SN*") / SUMIFS('塗裝各項不良率-明細'!J:J, '塗裝各項不良率-明細'!C:C, A41, '塗裝各項不良率-明細'!I:I, "5SN*"), 0)</f>
        <v>0.13333333333333333</v>
      </c>
    </row>
    <row r="42" spans="1:7" hidden="1">
      <c r="A42" s="62">
        <v>46121</v>
      </c>
      <c r="B42" s="60">
        <f>SUMIF('塗裝各項不良率-明細'!C:C,工作表6!A:A,'塗裝各項不良率-明細'!J:J)</f>
        <v>44220</v>
      </c>
      <c r="C42" s="60">
        <f>SUMIF('塗裝各項不良率-明細'!C:C,工作表6!A:A,'塗裝各項不良率-明細'!K:K)</f>
        <v>1513</v>
      </c>
      <c r="D42" s="57">
        <f t="shared" si="4"/>
        <v>3.421528720036183</v>
      </c>
      <c r="E42" s="74">
        <f>IFERROR(SUMIFS('塗裝各項不良率-明細'!K:K, '塗裝各項不良率-明細'!C:C, A42, '塗裝各項不良率-明細'!I:I, "5OE*") / SUMIFS('塗裝各項不良率-明細'!J:J, '塗裝各項不良率-明細'!C:C, A42, '塗裝各項不良率-明細'!I:I, "5OE*"), 0)</f>
        <v>3.281617301363423E-2</v>
      </c>
      <c r="F42" s="74">
        <f>IFERROR(SUMIFS('塗裝各項不良率-明細'!K:K, '塗裝各項不良率-明細'!C:C, A42, '塗裝各項不良率-明細'!I:I, "5PP*") / SUMIFS('塗裝各項不良率-明細'!J:J, '塗裝各項不良率-明細'!C:C, A42, '塗裝各項不良率-明細'!I:I, "5PP*"), 0)</f>
        <v>6.9642857142857145E-2</v>
      </c>
      <c r="G42" s="74">
        <f>IFERROR(SUMIFS('塗裝各項不良率-明細'!K:K, '塗裝各項不良率-明細'!C:C, A42, '塗裝各項不良率-明細'!I:I, "5SN*") / SUMIFS('塗裝各項不良率-明細'!J:J, '塗裝各項不良率-明細'!C:C, A42, '塗裝各項不良率-明細'!I:I, "5SN*"), 0)</f>
        <v>0</v>
      </c>
    </row>
    <row r="43" spans="1:7" hidden="1">
      <c r="A43" s="62">
        <v>46122</v>
      </c>
      <c r="B43" s="60">
        <f>SUMIF('塗裝各項不良率-明細'!C:C,工作表6!A:A,'塗裝各項不良率-明細'!J:J)</f>
        <v>30720</v>
      </c>
      <c r="C43" s="60">
        <f>SUMIF('塗裝各項不良率-明細'!C:C,工作表6!A:A,'塗裝各項不良率-明細'!K:K)</f>
        <v>1463</v>
      </c>
      <c r="D43" s="57">
        <f t="shared" si="4"/>
        <v>4.762369791666667</v>
      </c>
      <c r="E43" s="74">
        <f>IFERROR(SUMIFS('塗裝各項不良率-明細'!K:K, '塗裝各項不良率-明細'!C:C, A43, '塗裝各項不良率-明細'!I:I, "5OE*") / SUMIFS('塗裝各項不良率-明細'!J:J, '塗裝各項不良率-明細'!C:C, A43, '塗裝各項不良率-明細'!I:I, "5OE*"), 0)</f>
        <v>4.1579731743666172E-2</v>
      </c>
      <c r="F43" s="74">
        <f>IFERROR(SUMIFS('塗裝各項不良率-明細'!K:K, '塗裝各項不良率-明細'!C:C, A43, '塗裝各項不良率-明細'!I:I, "5PP*") / SUMIFS('塗裝各項不良率-明細'!J:J, '塗裝各項不良率-明細'!C:C, A43, '塗裝各項不良率-明細'!I:I, "5PP*"), 0)</f>
        <v>8.9432989690721651E-2</v>
      </c>
      <c r="G43" s="74">
        <f>IFERROR(SUMIFS('塗裝各項不良率-明細'!K:K, '塗裝各項不良率-明細'!C:C, A43, '塗裝各項不良率-明細'!I:I, "5SN*") / SUMIFS('塗裝各項不良率-明細'!J:J, '塗裝各項不良率-明細'!C:C, A43, '塗裝各項不良率-明細'!I:I, "5SN*"), 0)</f>
        <v>0</v>
      </c>
    </row>
    <row r="44" spans="1:7" hidden="1">
      <c r="A44" s="75">
        <v>46123</v>
      </c>
      <c r="B44" s="76">
        <f>SUMIF('塗裝各項不良率-明細'!C:C,工作表6!A:A,'塗裝各項不良率-明細'!J:J)</f>
        <v>0</v>
      </c>
      <c r="C44" s="76">
        <f>SUMIF('塗裝各項不良率-明細'!C:C,工作表6!A:A,'塗裝各項不良率-明細'!K:K)</f>
        <v>0</v>
      </c>
      <c r="D44" s="77" t="e">
        <f t="shared" si="4"/>
        <v>#DIV/0!</v>
      </c>
      <c r="E44" s="79">
        <f>IFERROR(SUMIFS('塗裝各項不良率-明細'!K:K, '塗裝各項不良率-明細'!C:C, A44, '塗裝各項不良率-明細'!I:I, "5OE*") / SUMIFS('塗裝各項不良率-明細'!J:J, '塗裝各項不良率-明細'!C:C, A44, '塗裝各項不良率-明細'!I:I, "5OE*"), 0)</f>
        <v>0</v>
      </c>
      <c r="F44" s="79">
        <f>IFERROR(SUMIFS('塗裝各項不良率-明細'!K:K, '塗裝各項不良率-明細'!C:C, A44, '塗裝各項不良率-明細'!I:I, "5PP*") / SUMIFS('塗裝各項不良率-明細'!J:J, '塗裝各項不良率-明細'!C:C, A44, '塗裝各項不良率-明細'!I:I, "5PP*"), 0)</f>
        <v>0</v>
      </c>
      <c r="G44" s="79">
        <f>IFERROR(SUMIFS('塗裝各項不良率-明細'!K:K, '塗裝各項不良率-明細'!C:C, A44, '塗裝各項不良率-明細'!I:I, "5SN*") / SUMIFS('塗裝各項不良率-明細'!J:J, '塗裝各項不良率-明細'!C:C, A44, '塗裝各項不良率-明細'!I:I, "5SN*"), 0)</f>
        <v>0</v>
      </c>
    </row>
    <row r="45" spans="1:7" hidden="1">
      <c r="A45" s="75">
        <v>46124</v>
      </c>
      <c r="B45" s="76">
        <f>SUMIF('塗裝各項不良率-明細'!C:C,工作表6!A:A,'塗裝各項不良率-明細'!J:J)</f>
        <v>0</v>
      </c>
      <c r="C45" s="76">
        <f>SUMIF('塗裝各項不良率-明細'!C:C,工作表6!A:A,'塗裝各項不良率-明細'!K:K)</f>
        <v>0</v>
      </c>
      <c r="D45" s="77" t="e">
        <f t="shared" si="4"/>
        <v>#DIV/0!</v>
      </c>
      <c r="E45" s="79">
        <f>IFERROR(SUMIFS('塗裝各項不良率-明細'!K:K, '塗裝各項不良率-明細'!C:C, A45, '塗裝各項不良率-明細'!I:I, "5OE*") / SUMIFS('塗裝各項不良率-明細'!J:J, '塗裝各項不良率-明細'!C:C, A45, '塗裝各項不良率-明細'!I:I, "5OE*"), 0)</f>
        <v>0</v>
      </c>
      <c r="F45" s="79">
        <f>IFERROR(SUMIFS('塗裝各項不良率-明細'!K:K, '塗裝各項不良率-明細'!C:C, A45, '塗裝各項不良率-明細'!I:I, "5PP*") / SUMIFS('塗裝各項不良率-明細'!J:J, '塗裝各項不良率-明細'!C:C, A45, '塗裝各項不良率-明細'!I:I, "5PP*"), 0)</f>
        <v>0</v>
      </c>
      <c r="G45" s="79">
        <f>IFERROR(SUMIFS('塗裝各項不良率-明細'!K:K, '塗裝各項不良率-明細'!C:C, A45, '塗裝各項不良率-明細'!I:I, "5SN*") / SUMIFS('塗裝各項不良率-明細'!J:J, '塗裝各項不良率-明細'!C:C, A45, '塗裝各項不良率-明細'!I:I, "5SN*"), 0)</f>
        <v>0</v>
      </c>
    </row>
    <row r="46" spans="1:7" hidden="1">
      <c r="A46" s="62">
        <v>46125</v>
      </c>
      <c r="B46" s="60">
        <f>SUMIF('塗裝各項不良率-明細'!C:C,工作表6!A:A,'塗裝各項不良率-明細'!J:J)</f>
        <v>14580</v>
      </c>
      <c r="C46" s="60">
        <f>SUMIF('塗裝各項不良率-明細'!C:C,工作表6!A:A,'塗裝各項不良率-明細'!K:K)</f>
        <v>653</v>
      </c>
      <c r="D46" s="57">
        <f t="shared" si="4"/>
        <v>4.4787379972565153</v>
      </c>
      <c r="E46" s="74">
        <f>IFERROR(SUMIFS('塗裝各項不良率-明細'!K:K, '塗裝各項不良率-明細'!C:C, A46, '塗裝各項不良率-明細'!I:I, "5OE*") / SUMIFS('塗裝各項不良率-明細'!J:J, '塗裝各項不良率-明細'!C:C, A46, '塗裝各項不良率-明細'!I:I, "5OE*"), 0)</f>
        <v>4.0103270223752152E-2</v>
      </c>
      <c r="F46" s="74">
        <f>IFERROR(SUMIFS('塗裝各項不良率-明細'!K:K, '塗裝各項不良率-明細'!C:C, A46, '塗裝各項不良率-明細'!I:I, "5PP*") / SUMIFS('塗裝各項不良率-明細'!J:J, '塗裝各項不良率-明細'!C:C, A46, '塗裝各項不良率-明細'!I:I, "5PP*"), 0)</f>
        <v>6.3175675675675669E-2</v>
      </c>
      <c r="G46" s="74">
        <f>IFERROR(SUMIFS('塗裝各項不良率-明細'!K:K, '塗裝各項不良率-明細'!C:C, A46, '塗裝各項不良率-明細'!I:I, "5SN*") / SUMIFS('塗裝各項不良率-明細'!J:J, '塗裝各項不良率-明細'!C:C, A46, '塗裝各項不良率-明細'!I:I, "5SN*"), 0)</f>
        <v>0</v>
      </c>
    </row>
    <row r="47" spans="1:7" hidden="1">
      <c r="A47" s="62">
        <v>46126</v>
      </c>
      <c r="B47" s="60">
        <f>SUMIF('塗裝各項不良率-明細'!C:C,工作表6!A:A,'塗裝各項不良率-明細'!J:J)</f>
        <v>30984</v>
      </c>
      <c r="C47" s="60">
        <f>SUMIF('塗裝各項不良率-明細'!C:C,工作表6!A:A,'塗裝各項不良率-明細'!K:K)</f>
        <v>1074</v>
      </c>
      <c r="D47" s="57">
        <f t="shared" si="4"/>
        <v>3.4663051897753681</v>
      </c>
      <c r="E47" s="74">
        <f>IFERROR(SUMIFS('塗裝各項不良率-明細'!K:K, '塗裝各項不良率-明細'!C:C, A47, '塗裝各項不良率-明細'!I:I, "5OE*") / SUMIFS('塗裝各項不良率-明細'!J:J, '塗裝各項不良率-明細'!C:C, A47, '塗裝各項不良率-明細'!I:I, "5OE*"), 0)</f>
        <v>3.2737689264766064E-2</v>
      </c>
      <c r="F47" s="74">
        <f>IFERROR(SUMIFS('塗裝各項不良率-明細'!K:K, '塗裝各項不良率-明細'!C:C, A47, '塗裝各項不良率-明細'!I:I, "5PP*") / SUMIFS('塗裝各項不良率-明細'!J:J, '塗裝各項不良率-明細'!C:C, A47, '塗裝各項不良率-明細'!I:I, "5PP*"), 0)</f>
        <v>6.0624999999999998E-2</v>
      </c>
      <c r="G47" s="74">
        <f>IFERROR(SUMIFS('塗裝各項不良率-明細'!K:K, '塗裝各項不良率-明細'!C:C, A47, '塗裝各項不良率-明細'!I:I, "5SN*") / SUMIFS('塗裝各項不良率-明細'!J:J, '塗裝各項不良率-明細'!C:C, A47, '塗裝各項不良率-明細'!I:I, "5SN*"), 0)</f>
        <v>0.28333333333333333</v>
      </c>
    </row>
    <row r="48" spans="1:7" hidden="1">
      <c r="A48" s="62">
        <v>46127</v>
      </c>
      <c r="B48" s="60">
        <f>SUMIF('塗裝各項不良率-明細'!C:C,工作表6!A:A,'塗裝各項不良率-明細'!J:J)</f>
        <v>32458</v>
      </c>
      <c r="C48" s="60">
        <f>SUMIF('塗裝各項不良率-明細'!C:C,工作表6!A:A,'塗裝各項不良率-明細'!K:K)</f>
        <v>1076</v>
      </c>
      <c r="D48" s="57">
        <f t="shared" si="4"/>
        <v>3.3150532996487772</v>
      </c>
      <c r="E48" s="74">
        <f>IFERROR(SUMIFS('塗裝各項不良率-明細'!K:K, '塗裝各項不良率-明細'!C:C, A48, '塗裝各項不良率-明細'!I:I, "5OE*") / SUMIFS('塗裝各項不良率-明細'!J:J, '塗裝各項不良率-明細'!C:C, A48, '塗裝各項不良率-明細'!I:I, "5OE*"), 0)</f>
        <v>2.5180364973829396E-2</v>
      </c>
      <c r="F48" s="74">
        <f>IFERROR(SUMIFS('塗裝各項不良率-明細'!K:K, '塗裝各項不良率-明細'!C:C, A48, '塗裝各項不良率-明細'!I:I, "5PP*") / SUMIFS('塗裝各項不良率-明細'!J:J, '塗裝各項不良率-明細'!C:C, A48, '塗裝各項不良率-明細'!I:I, "5PP*"), 0)</f>
        <v>8.7039693926351025E-2</v>
      </c>
      <c r="G48" s="74">
        <f>IFERROR(SUMIFS('塗裝各項不良率-明細'!K:K, '塗裝各項不良率-明細'!C:C, A48, '塗裝各項不良率-明細'!I:I, "5SN*") / SUMIFS('塗裝各項不良率-明細'!J:J, '塗裝各項不良率-明細'!C:C, A48, '塗裝各項不良率-明細'!I:I, "5SN*"), 0)</f>
        <v>0</v>
      </c>
    </row>
    <row r="49" spans="1:7" hidden="1">
      <c r="A49" s="62">
        <v>46128</v>
      </c>
      <c r="B49" s="60">
        <f>SUMIF('塗裝各項不良率-明細'!C:C,工作表6!A:A,'塗裝各項不良率-明細'!J:J)</f>
        <v>32238</v>
      </c>
      <c r="C49" s="60">
        <f>SUMIF('塗裝各項不良率-明細'!C:C,工作表6!A:A,'塗裝各項不良率-明細'!K:K)</f>
        <v>1074</v>
      </c>
      <c r="D49" s="57">
        <f t="shared" si="4"/>
        <v>3.3314721756932815</v>
      </c>
      <c r="E49" s="74">
        <f>IFERROR(SUMIFS('塗裝各項不良率-明細'!K:K, '塗裝各項不良率-明細'!C:C, A49, '塗裝各項不良率-明細'!I:I, "5OE*") / SUMIFS('塗裝各項不良率-明細'!J:J, '塗裝各項不良率-明細'!C:C, A49, '塗裝各項不良率-明細'!I:I, "5OE*"), 0)</f>
        <v>2.8772553307818478E-2</v>
      </c>
      <c r="F49" s="74">
        <f>IFERROR(SUMIFS('塗裝各項不良率-明細'!K:K, '塗裝各項不良率-明細'!C:C, A49, '塗裝各項不良率-明細'!I:I, "5PP*") / SUMIFS('塗裝各項不良率-明細'!J:J, '塗裝各項不良率-明細'!C:C, A49, '塗裝各項不良率-明細'!I:I, "5PP*"), 0)</f>
        <v>7.8009414929388024E-2</v>
      </c>
      <c r="G49" s="74">
        <f>IFERROR(SUMIFS('塗裝各項不良率-明細'!K:K, '塗裝各項不良率-明細'!C:C, A49, '塗裝各項不良率-明細'!I:I, "5SN*") / SUMIFS('塗裝各項不良率-明細'!J:J, '塗裝各項不良率-明細'!C:C, A49, '塗裝各項不良率-明細'!I:I, "5SN*"), 0)</f>
        <v>0</v>
      </c>
    </row>
    <row r="50" spans="1:7" hidden="1">
      <c r="A50" s="62">
        <v>46129</v>
      </c>
      <c r="B50" s="60">
        <f>SUMIF('塗裝各項不良率-明細'!C:C,工作表6!A:A,'塗裝各項不良率-明細'!J:J)</f>
        <v>45638</v>
      </c>
      <c r="C50" s="60">
        <f>SUMIF('塗裝各項不良率-明細'!C:C,工作表6!A:A,'塗裝各項不良率-明細'!K:K)</f>
        <v>1414</v>
      </c>
      <c r="D50" s="57">
        <f t="shared" si="4"/>
        <v>3.0982952802489154</v>
      </c>
      <c r="E50" s="74">
        <f>IFERROR(SUMIFS('塗裝各項不良率-明細'!K:K, '塗裝各項不良率-明細'!C:C, A50, '塗裝各項不良率-明細'!I:I, "5OE*") / SUMIFS('塗裝各項不良率-明細'!J:J, '塗裝各項不良率-明細'!C:C, A50, '塗裝各項不良率-明細'!I:I, "5OE*"), 0)</f>
        <v>2.9821486230914709E-2</v>
      </c>
      <c r="F50" s="74">
        <f>IFERROR(SUMIFS('塗裝各項不良率-明細'!K:K, '塗裝各項不良率-明細'!C:C, A50, '塗裝各項不良率-明細'!I:I, "5PP*") / SUMIFS('塗裝各項不良率-明細'!J:J, '塗裝各項不良率-明細'!C:C, A50, '塗裝各項不良率-明細'!I:I, "5PP*"), 0)</f>
        <v>5.307017543859649E-2</v>
      </c>
      <c r="G50" s="74">
        <f>IFERROR(SUMIFS('塗裝各項不良率-明細'!K:K, '塗裝各項不良率-明細'!C:C, A50, '塗裝各項不良率-明細'!I:I, "5SN*") / SUMIFS('塗裝各項不良率-明細'!J:J, '塗裝各項不良率-明細'!C:C, A50, '塗裝各項不良率-明細'!I:I, "5SN*"), 0)</f>
        <v>0</v>
      </c>
    </row>
    <row r="51" spans="1:7" hidden="1">
      <c r="A51" s="75">
        <v>46130</v>
      </c>
      <c r="B51" s="76">
        <f>SUMIF('塗裝各項不良率-明細'!C:C,工作表6!A:A,'塗裝各項不良率-明細'!J:J)</f>
        <v>0</v>
      </c>
      <c r="C51" s="76">
        <f>SUMIF('塗裝各項不良率-明細'!C:C,工作表6!A:A,'塗裝各項不良率-明細'!K:K)</f>
        <v>0</v>
      </c>
      <c r="D51" s="77" t="e">
        <f t="shared" si="4"/>
        <v>#DIV/0!</v>
      </c>
      <c r="E51" s="79">
        <f>IFERROR(SUMIFS('塗裝各項不良率-明細'!K:K, '塗裝各項不良率-明細'!C:C, A51, '塗裝各項不良率-明細'!I:I, "5OE*") / SUMIFS('塗裝各項不良率-明細'!J:J, '塗裝各項不良率-明細'!C:C, A51, '塗裝各項不良率-明細'!I:I, "5OE*"), 0)</f>
        <v>0</v>
      </c>
      <c r="F51" s="79">
        <f>IFERROR(SUMIFS('塗裝各項不良率-明細'!K:K, '塗裝各項不良率-明細'!C:C, A51, '塗裝各項不良率-明細'!I:I, "5PP*") / SUMIFS('塗裝各項不良率-明細'!J:J, '塗裝各項不良率-明細'!C:C, A51, '塗裝各項不良率-明細'!I:I, "5PP*"), 0)</f>
        <v>0</v>
      </c>
      <c r="G51" s="79">
        <f>IFERROR(SUMIFS('塗裝各項不良率-明細'!K:K, '塗裝各項不良率-明細'!C:C, A51, '塗裝各項不良率-明細'!I:I, "5SN*") / SUMIFS('塗裝各項不良率-明細'!J:J, '塗裝各項不良率-明細'!C:C, A51, '塗裝各項不良率-明細'!I:I, "5SN*"), 0)</f>
        <v>0</v>
      </c>
    </row>
    <row r="52" spans="1:7" hidden="1">
      <c r="A52" s="75">
        <v>46131</v>
      </c>
      <c r="B52" s="76">
        <f>SUMIF('塗裝各項不良率-明細'!C:C,工作表6!A:A,'塗裝各項不良率-明細'!J:J)</f>
        <v>0</v>
      </c>
      <c r="C52" s="76">
        <f>SUMIF('塗裝各項不良率-明細'!C:C,工作表6!A:A,'塗裝各項不良率-明細'!K:K)</f>
        <v>0</v>
      </c>
      <c r="D52" s="77" t="e">
        <f t="shared" si="4"/>
        <v>#DIV/0!</v>
      </c>
      <c r="E52" s="79">
        <f>IFERROR(SUMIFS('塗裝各項不良率-明細'!K:K, '塗裝各項不良率-明細'!C:C, A52, '塗裝各項不良率-明細'!I:I, "5OE*") / SUMIFS('塗裝各項不良率-明細'!J:J, '塗裝各項不良率-明細'!C:C, A52, '塗裝各項不良率-明細'!I:I, "5OE*"), 0)</f>
        <v>0</v>
      </c>
      <c r="F52" s="79">
        <f>IFERROR(SUMIFS('塗裝各項不良率-明細'!K:K, '塗裝各項不良率-明細'!C:C, A52, '塗裝各項不良率-明細'!I:I, "5PP*") / SUMIFS('塗裝各項不良率-明細'!J:J, '塗裝各項不良率-明細'!C:C, A52, '塗裝各項不良率-明細'!I:I, "5PP*"), 0)</f>
        <v>0</v>
      </c>
      <c r="G52" s="79">
        <f>IFERROR(SUMIFS('塗裝各項不良率-明細'!K:K, '塗裝各項不良率-明細'!C:C, A52, '塗裝各項不良率-明細'!I:I, "5SN*") / SUMIFS('塗裝各項不良率-明細'!J:J, '塗裝各項不良率-明細'!C:C, A52, '塗裝各項不良率-明細'!I:I, "5SN*"), 0)</f>
        <v>0</v>
      </c>
    </row>
    <row r="53" spans="1:7" hidden="1">
      <c r="A53" s="62">
        <v>46132</v>
      </c>
      <c r="B53" s="60">
        <f>SUMIF('塗裝各項不良率-明細'!C:C,工作表6!A:A,'塗裝各項不良率-明細'!J:J)</f>
        <v>30196</v>
      </c>
      <c r="C53" s="60">
        <f>SUMIF('塗裝各項不良率-明細'!C:C,工作表6!A:A,'塗裝各項不良率-明細'!K:K)</f>
        <v>836</v>
      </c>
      <c r="D53" s="57">
        <f t="shared" si="4"/>
        <v>2.7685786196847268</v>
      </c>
      <c r="E53" s="74">
        <f>IFERROR(SUMIFS('塗裝各項不良率-明細'!K:K, '塗裝各項不良率-明細'!C:C, A53, '塗裝各項不良率-明細'!I:I, "5OE*") / SUMIFS('塗裝各項不良率-明細'!J:J, '塗裝各項不良率-明細'!C:C, A53, '塗裝各項不良率-明細'!I:I, "5OE*"), 0)</f>
        <v>2.0534827635125551E-2</v>
      </c>
      <c r="F53" s="74">
        <f>IFERROR(SUMIFS('塗裝各項不良率-明細'!K:K, '塗裝各項不良率-明細'!C:C, A53, '塗裝各項不良率-明細'!I:I, "5PP*") / SUMIFS('塗裝各項不良率-明細'!J:J, '塗裝各項不良率-明細'!C:C, A53, '塗裝各項不良率-明細'!I:I, "5PP*"), 0)</f>
        <v>0.1285</v>
      </c>
      <c r="G53" s="74">
        <f>IFERROR(SUMIFS('塗裝各項不良率-明細'!K:K, '塗裝各項不良率-明細'!C:C, A53, '塗裝各項不良率-明細'!I:I, "5SN*") / SUMIFS('塗裝各項不良率-明細'!J:J, '塗裝各項不良率-明細'!C:C, A53, '塗裝各項不良率-明細'!I:I, "5SN*"), 0)</f>
        <v>0</v>
      </c>
    </row>
    <row r="54" spans="1:7" hidden="1">
      <c r="A54" s="62">
        <v>46133</v>
      </c>
      <c r="B54" s="60">
        <f>SUMIF('塗裝各項不良率-明細'!C:C,工作表6!A:A,'塗裝各項不良率-明細'!J:J)</f>
        <v>34594</v>
      </c>
      <c r="C54" s="60">
        <f>SUMIF('塗裝各項不良率-明細'!C:C,工作表6!A:A,'塗裝各項不良率-明細'!K:K)</f>
        <v>1190</v>
      </c>
      <c r="D54" s="57">
        <f t="shared" si="4"/>
        <v>3.4399028733306354</v>
      </c>
      <c r="E54" s="74">
        <f>IFERROR(SUMIFS('塗裝各項不良率-明細'!K:K, '塗裝各項不良率-明細'!C:C, A54, '塗裝各項不良率-明細'!I:I, "5OE*") / SUMIFS('塗裝各項不良率-明細'!J:J, '塗裝各項不良率-明細'!C:C, A54, '塗裝各項不良率-明細'!I:I, "5OE*"), 0)</f>
        <v>2.5817447292008584E-2</v>
      </c>
      <c r="F54" s="74">
        <f>IFERROR(SUMIFS('塗裝各項不良率-明細'!K:K, '塗裝各項不良率-明細'!C:C, A54, '塗裝各項不良率-明細'!I:I, "5PP*") / SUMIFS('塗裝各項不良率-明細'!J:J, '塗裝各項不良率-明細'!C:C, A54, '塗裝各項不良率-明細'!I:I, "5PP*"), 0)</f>
        <v>0.12783505154639174</v>
      </c>
      <c r="G54" s="74">
        <f>IFERROR(SUMIFS('塗裝各項不良率-明細'!K:K, '塗裝各項不良率-明細'!C:C, A54, '塗裝各項不良率-明細'!I:I, "5SN*") / SUMIFS('塗裝各項不良率-明細'!J:J, '塗裝各項不良率-明細'!C:C, A54, '塗裝各項不良率-明細'!I:I, "5SN*"), 0)</f>
        <v>0</v>
      </c>
    </row>
    <row r="55" spans="1:7" hidden="1">
      <c r="A55" s="62">
        <v>46134</v>
      </c>
      <c r="B55" s="60">
        <f>SUMIF('塗裝各項不良率-明細'!C:C,工作表6!A:A,'塗裝各項不良率-明細'!J:J)</f>
        <v>33216</v>
      </c>
      <c r="C55" s="60">
        <f>SUMIF('塗裝各項不良率-明細'!C:C,工作表6!A:A,'塗裝各項不良率-明細'!K:K)</f>
        <v>1539</v>
      </c>
      <c r="D55" s="57">
        <f t="shared" si="4"/>
        <v>4.6333092485549132</v>
      </c>
      <c r="E55" s="74">
        <f>IFERROR(SUMIFS('塗裝各項不良率-明細'!K:K, '塗裝各項不良率-明細'!C:C, A55, '塗裝各項不良率-明細'!I:I, "5OE*") / SUMIFS('塗裝各項不良率-明細'!J:J, '塗裝各項不良率-明細'!C:C, A55, '塗裝各項不良率-明細'!I:I, "5OE*"), 0)</f>
        <v>4.5476061671625642E-2</v>
      </c>
      <c r="F55" s="74">
        <f>IFERROR(SUMIFS('塗裝各項不良率-明細'!K:K, '塗裝各項不良率-明細'!C:C, A55, '塗裝各項不良率-明細'!I:I, "5PP*") / SUMIFS('塗裝各項不良率-明細'!J:J, '塗裝各項不良率-明細'!C:C, A55, '塗裝各項不良率-明細'!I:I, "5PP*"), 0)</f>
        <v>5.3296703296703295E-2</v>
      </c>
      <c r="G55" s="74">
        <f>IFERROR(SUMIFS('塗裝各項不良率-明細'!K:K, '塗裝各項不良率-明細'!C:C, A55, '塗裝各項不良率-明細'!I:I, "5SN*") / SUMIFS('塗裝各項不良率-明細'!J:J, '塗裝各項不良率-明細'!C:C, A55, '塗裝各項不良率-明細'!I:I, "5SN*"), 0)</f>
        <v>0</v>
      </c>
    </row>
    <row r="56" spans="1:7" hidden="1">
      <c r="A56" s="62">
        <v>46135</v>
      </c>
      <c r="B56" s="60">
        <f>SUMIF('塗裝各項不良率-明細'!C:C,工作表6!A:A,'塗裝各項不良率-明細'!J:J)</f>
        <v>37046</v>
      </c>
      <c r="C56" s="60">
        <f>SUMIF('塗裝各項不良率-明細'!C:C,工作表6!A:A,'塗裝各項不良率-明細'!K:K)</f>
        <v>772</v>
      </c>
      <c r="D56" s="57">
        <f t="shared" si="4"/>
        <v>2.0838956972412679</v>
      </c>
      <c r="E56" s="74">
        <f>IFERROR(SUMIFS('塗裝各項不良率-明細'!K:K, '塗裝各項不良率-明細'!C:C, A56, '塗裝各項不良率-明細'!I:I, "5OE*") / SUMIFS('塗裝各項不良率-明細'!J:J, '塗裝各項不良率-明細'!C:C, A56, '塗裝各項不良率-明細'!I:I, "5OE*"), 0)</f>
        <v>1.5295873270963668E-2</v>
      </c>
      <c r="F56" s="74">
        <f>IFERROR(SUMIFS('塗裝各項不良率-明細'!K:K, '塗裝各項不良率-明細'!C:C, A56, '塗裝各項不良率-明細'!I:I, "5PP*") / SUMIFS('塗裝各項不良率-明細'!J:J, '塗裝各項不良率-明細'!C:C, A56, '塗裝各項不良率-明細'!I:I, "5PP*"), 0)</f>
        <v>0.11176470588235295</v>
      </c>
      <c r="G56" s="74">
        <f>IFERROR(SUMIFS('塗裝各項不良率-明細'!K:K, '塗裝各項不良率-明細'!C:C, A56, '塗裝各項不良率-明細'!I:I, "5SN*") / SUMIFS('塗裝各項不良率-明細'!J:J, '塗裝各項不良率-明細'!C:C, A56, '塗裝各項不良率-明細'!I:I, "5SN*"), 0)</f>
        <v>6.8750000000000006E-2</v>
      </c>
    </row>
    <row r="57" spans="1:7" hidden="1">
      <c r="A57" s="62">
        <v>46136</v>
      </c>
      <c r="B57" s="60">
        <f>SUMIF('塗裝各項不良率-明細'!C:C,工作表6!A:A,'塗裝各項不良率-明細'!J:J)</f>
        <v>29518</v>
      </c>
      <c r="C57" s="60">
        <f>SUMIF('塗裝各項不良率-明細'!C:C,工作表6!A:A,'塗裝各項不良率-明細'!K:K)</f>
        <v>1253</v>
      </c>
      <c r="D57" s="57">
        <f t="shared" si="4"/>
        <v>4.2448675384511141</v>
      </c>
      <c r="E57" s="74">
        <f>IFERROR(SUMIFS('塗裝各項不良率-明細'!K:K, '塗裝各項不良率-明細'!C:C, A57, '塗裝各項不良率-明細'!I:I, "5OE*") / SUMIFS('塗裝各項不良率-明細'!J:J, '塗裝各項不良率-明細'!C:C, A57, '塗裝各項不良率-明細'!I:I, "5OE*"), 0)</f>
        <v>3.7630346078283208E-2</v>
      </c>
      <c r="F57" s="74">
        <f>IFERROR(SUMIFS('塗裝各項不良率-明細'!K:K, '塗裝各項不良率-明細'!C:C, A57, '塗裝各項不良率-明細'!I:I, "5PP*") / SUMIFS('塗裝各項不良率-明細'!J:J, '塗裝各項不良率-明細'!C:C, A57, '塗裝各項不良率-明細'!I:I, "5PP*"), 0)</f>
        <v>8.4262295081967212E-2</v>
      </c>
      <c r="G57" s="74">
        <f>IFERROR(SUMIFS('塗裝各項不良率-明細'!K:K, '塗裝各項不良率-明細'!C:C, A57, '塗裝各項不良率-明細'!I:I, "5SN*") / SUMIFS('塗裝各項不良率-明細'!J:J, '塗裝各項不良率-明細'!C:C, A57, '塗裝各項不良率-明細'!I:I, "5SN*"), 0)</f>
        <v>0</v>
      </c>
    </row>
    <row r="58" spans="1:7" hidden="1">
      <c r="A58" s="75">
        <v>46137</v>
      </c>
      <c r="B58" s="76">
        <f>SUMIF('塗裝各項不良率-明細'!C:C,工作表6!A:A,'塗裝各項不良率-明細'!J:J)</f>
        <v>0</v>
      </c>
      <c r="C58" s="76">
        <f>SUMIF('塗裝各項不良率-明細'!C:C,工作表6!A:A,'塗裝各項不良率-明細'!K:K)</f>
        <v>0</v>
      </c>
      <c r="D58" s="77" t="e">
        <f t="shared" si="4"/>
        <v>#DIV/0!</v>
      </c>
      <c r="E58" s="79">
        <f>IFERROR(SUMIFS('塗裝各項不良率-明細'!K:K, '塗裝各項不良率-明細'!C:C, A58, '塗裝各項不良率-明細'!I:I, "5OE*") / SUMIFS('塗裝各項不良率-明細'!J:J, '塗裝各項不良率-明細'!C:C, A58, '塗裝各項不良率-明細'!I:I, "5OE*"), 0)</f>
        <v>0</v>
      </c>
      <c r="F58" s="79">
        <f>IFERROR(SUMIFS('塗裝各項不良率-明細'!K:K, '塗裝各項不良率-明細'!C:C, A58, '塗裝各項不良率-明細'!I:I, "5PP*") / SUMIFS('塗裝各項不良率-明細'!J:J, '塗裝各項不良率-明細'!C:C, A58, '塗裝各項不良率-明細'!I:I, "5PP*"), 0)</f>
        <v>0</v>
      </c>
      <c r="G58" s="79">
        <f>IFERROR(SUMIFS('塗裝各項不良率-明細'!K:K, '塗裝各項不良率-明細'!C:C, A58, '塗裝各項不良率-明細'!I:I, "5SN*") / SUMIFS('塗裝各項不良率-明細'!J:J, '塗裝各項不良率-明細'!C:C, A58, '塗裝各項不良率-明細'!I:I, "5SN*"), 0)</f>
        <v>0</v>
      </c>
    </row>
    <row r="59" spans="1:7" hidden="1">
      <c r="A59" s="75">
        <v>46138</v>
      </c>
      <c r="B59" s="76">
        <f>SUMIF('塗裝各項不良率-明細'!C:C,工作表6!A:A,'塗裝各項不良率-明細'!J:J)</f>
        <v>0</v>
      </c>
      <c r="C59" s="76">
        <f>SUMIF('塗裝各項不良率-明細'!C:C,工作表6!A:A,'塗裝各項不良率-明細'!K:K)</f>
        <v>0</v>
      </c>
      <c r="D59" s="77" t="e">
        <f t="shared" si="4"/>
        <v>#DIV/0!</v>
      </c>
      <c r="E59" s="79">
        <f>IFERROR(SUMIFS('塗裝各項不良率-明細'!K:K, '塗裝各項不良率-明細'!C:C, A59, '塗裝各項不良率-明細'!I:I, "5OE*") / SUMIFS('塗裝各項不良率-明細'!J:J, '塗裝各項不良率-明細'!C:C, A59, '塗裝各項不良率-明細'!I:I, "5OE*"), 0)</f>
        <v>0</v>
      </c>
      <c r="F59" s="79">
        <f>IFERROR(SUMIFS('塗裝各項不良率-明細'!K:K, '塗裝各項不良率-明細'!C:C, A59, '塗裝各項不良率-明細'!I:I, "5PP*") / SUMIFS('塗裝各項不良率-明細'!J:J, '塗裝各項不良率-明細'!C:C, A59, '塗裝各項不良率-明細'!I:I, "5PP*"), 0)</f>
        <v>0</v>
      </c>
      <c r="G59" s="79">
        <f>IFERROR(SUMIFS('塗裝各項不良率-明細'!K:K, '塗裝各項不良率-明細'!C:C, A59, '塗裝各項不良率-明細'!I:I, "5SN*") / SUMIFS('塗裝各項不良率-明細'!J:J, '塗裝各項不良率-明細'!C:C, A59, '塗裝各項不良率-明細'!I:I, "5SN*"), 0)</f>
        <v>0</v>
      </c>
    </row>
    <row r="60" spans="1:7" hidden="1">
      <c r="A60" s="62">
        <v>46139</v>
      </c>
      <c r="B60" s="60">
        <f>SUMIF('塗裝各項不良率-明細'!C:C,工作表6!A:A,'塗裝各項不良率-明細'!J:J)</f>
        <v>40772</v>
      </c>
      <c r="C60" s="60">
        <f>SUMIF('塗裝各項不良率-明細'!C:C,工作表6!A:A,'塗裝各項不良率-明細'!K:K)</f>
        <v>1502</v>
      </c>
      <c r="D60" s="57">
        <f t="shared" si="4"/>
        <v>3.6839007161777686</v>
      </c>
      <c r="E60" s="74">
        <f>IFERROR(SUMIFS('塗裝各項不良率-明細'!K:K, '塗裝各項不良率-明細'!C:C, A60, '塗裝各項不良率-明細'!I:I, "5OE*") / SUMIFS('塗裝各項不良率-明細'!J:J, '塗裝各項不良率-明細'!C:C, A60, '塗裝各項不良率-明細'!I:I, "5OE*"), 0)</f>
        <v>3.5385666964614336E-2</v>
      </c>
      <c r="F60" s="74">
        <f>IFERROR(SUMIFS('塗裝各項不良率-明細'!K:K, '塗裝各項不良率-明細'!C:C, A60, '塗裝各項不良率-明細'!I:I, "5PP*") / SUMIFS('塗裝各項不良率-明細'!J:J, '塗裝各項不良率-明細'!C:C, A60, '塗裝各項不良率-明細'!I:I, "5PP*"), 0)</f>
        <v>5.7059253840526701E-2</v>
      </c>
      <c r="G60" s="74">
        <f>IFERROR(SUMIFS('塗裝各項不良率-明細'!K:K, '塗裝各項不良率-明細'!C:C, A60, '塗裝各項不良率-明細'!I:I, "5SN*") / SUMIFS('塗裝各項不良率-明細'!J:J, '塗裝各項不良率-明細'!C:C, A60, '塗裝各項不良率-明細'!I:I, "5SN*"), 0)</f>
        <v>0</v>
      </c>
    </row>
    <row r="61" spans="1:7" hidden="1">
      <c r="A61" s="62">
        <v>46140</v>
      </c>
      <c r="B61" s="60">
        <f>SUMIF('塗裝各項不良率-明細'!C:C,工作表6!A:A,'塗裝各項不良率-明細'!J:J)</f>
        <v>33772</v>
      </c>
      <c r="C61" s="60">
        <f>SUMIF('塗裝各項不良率-明細'!C:C,工作表6!A:A,'塗裝各項不良率-明細'!K:K)</f>
        <v>1461</v>
      </c>
      <c r="D61" s="57">
        <f t="shared" si="4"/>
        <v>4.3260689328437758</v>
      </c>
      <c r="E61" s="74">
        <f>IFERROR(SUMIFS('塗裝各項不良率-明細'!K:K, '塗裝各項不良率-明細'!C:C, A61, '塗裝各項不良率-明細'!I:I, "5OE*") / SUMIFS('塗裝各項不良率-明細'!J:J, '塗裝各項不良率-明細'!C:C, A61, '塗裝各項不良率-明細'!I:I, "5OE*"), 0)</f>
        <v>2.5563909774436091E-2</v>
      </c>
      <c r="F61" s="74">
        <f>IFERROR(SUMIFS('塗裝各項不良率-明細'!K:K, '塗裝各項不良率-明細'!C:C, A61, '塗裝各項不良率-明細'!I:I, "5PP*") / SUMIFS('塗裝各項不良率-明細'!J:J, '塗裝各項不良率-明細'!C:C, A61, '塗裝各項不良率-明細'!I:I, "5PP*"), 0)</f>
        <v>0.10889570552147239</v>
      </c>
      <c r="G61" s="74">
        <f>IFERROR(SUMIFS('塗裝各項不良率-明細'!K:K, '塗裝各項不良率-明細'!C:C, A61, '塗裝各項不良率-明細'!I:I, "5SN*") / SUMIFS('塗裝各項不良率-明細'!J:J, '塗裝各項不良率-明細'!C:C, A61, '塗裝各項不良率-明細'!I:I, "5SN*"), 0)</f>
        <v>0</v>
      </c>
    </row>
    <row r="62" spans="1:7" hidden="1">
      <c r="A62" s="62">
        <v>46141</v>
      </c>
      <c r="B62" s="60">
        <f>SUMIF('塗裝各項不良率-明細'!C:C,工作表6!A:A,'塗裝各項不良率-明細'!J:J)</f>
        <v>30388</v>
      </c>
      <c r="C62" s="60">
        <f>SUMIF('塗裝各項不良率-明細'!C:C,工作表6!A:A,'塗裝各項不良率-明細'!K:K)</f>
        <v>937</v>
      </c>
      <c r="D62" s="57">
        <f t="shared" si="4"/>
        <v>3.0834539949980257</v>
      </c>
      <c r="E62" s="74">
        <f>IFERROR(SUMIFS('塗裝各項不良率-明細'!K:K, '塗裝各項不良率-明細'!C:C, A62, '塗裝各項不良率-明細'!I:I, "5OE*") / SUMIFS('塗裝各項不良率-明細'!J:J, '塗裝各項不良率-明細'!C:C, A62, '塗裝各項不良率-明細'!I:I, "5OE*"), 0)</f>
        <v>2.7900863687570408E-2</v>
      </c>
      <c r="F62" s="74">
        <f>IFERROR(SUMIFS('塗裝各項不良率-明細'!K:K, '塗裝各項不良率-明細'!C:C, A62, '塗裝各項不良率-明細'!I:I, "5PP*") / SUMIFS('塗裝各項不良率-明細'!J:J, '塗裝各項不良率-明細'!C:C, A62, '塗裝各項不良率-明細'!I:I, "5PP*"), 0)</f>
        <v>5.1623203831825441E-2</v>
      </c>
      <c r="G62" s="74">
        <f>IFERROR(SUMIFS('塗裝各項不良率-明細'!K:K, '塗裝各項不良率-明細'!C:C, A62, '塗裝各項不良率-明細'!I:I, "5SN*") / SUMIFS('塗裝各項不良率-明細'!J:J, '塗裝各項不良率-明細'!C:C, A62, '塗裝各項不良率-明細'!I:I, "5SN*"), 0)</f>
        <v>0</v>
      </c>
    </row>
    <row r="63" spans="1:7" hidden="1">
      <c r="A63" s="62">
        <v>46142</v>
      </c>
      <c r="B63" s="60">
        <f>SUMIF('塗裝各項不良率-明細'!C:C,工作表6!A:A,'塗裝各項不良率-明細'!J:J)</f>
        <v>28540</v>
      </c>
      <c r="C63" s="60">
        <f>SUMIF('塗裝各項不良率-明細'!C:C,工作表6!A:A,'塗裝各項不良率-明細'!K:K)</f>
        <v>946</v>
      </c>
      <c r="D63" s="57">
        <f t="shared" si="4"/>
        <v>3.3146461107217942</v>
      </c>
      <c r="E63" s="74">
        <f>IFERROR(SUMIFS('塗裝各項不良率-明細'!K:K, '塗裝各項不良率-明細'!C:C, A63, '塗裝各項不良率-明細'!I:I, "5OE*") / SUMIFS('塗裝各項不良率-明細'!J:J, '塗裝各項不良率-明細'!C:C, A63, '塗裝各項不良率-明細'!I:I, "5OE*"), 0)</f>
        <v>2.4436090225563908E-2</v>
      </c>
      <c r="F63" s="74">
        <f>IFERROR(SUMIFS('塗裝各項不良率-明細'!K:K, '塗裝各項不良率-明細'!C:C, A63, '塗裝各項不良率-明細'!I:I, "5PP*") / SUMIFS('塗裝各項不良率-明細'!J:J, '塗裝各項不良率-明細'!C:C, A63, '塗裝各項不良率-明細'!I:I, "5PP*"), 0)</f>
        <v>0.15257731958762888</v>
      </c>
      <c r="G63" s="74">
        <f>IFERROR(SUMIFS('塗裝各項不良率-明細'!K:K, '塗裝各項不良率-明細'!C:C, A63, '塗裝各項不良率-明細'!I:I, "5SN*") / SUMIFS('塗裝各項不良率-明細'!J:J, '塗裝各項不良率-明細'!C:C, A63, '塗裝各項不良率-明細'!I:I, "5SN*"), 0)</f>
        <v>0</v>
      </c>
    </row>
    <row r="64" spans="1:7" hidden="1"/>
    <row r="65" spans="1:7">
      <c r="A65" s="75">
        <v>46143</v>
      </c>
      <c r="B65" s="76">
        <f>SUMIF('塗裝各項不良率-明細'!C:C,工作表6!A:A,'塗裝各項不良率-明細'!J:J)</f>
        <v>0</v>
      </c>
      <c r="C65" s="76">
        <f>SUMIF('塗裝各項不良率-明細'!C:C,工作表6!A:A,'塗裝各項不良率-明細'!K:K)</f>
        <v>0</v>
      </c>
      <c r="D65" s="77" t="e">
        <f>C65/B65%</f>
        <v>#DIV/0!</v>
      </c>
      <c r="E65" s="79">
        <f>IFERROR(SUMIFS('塗裝各項不良率-明細'!K:K, '塗裝各項不良率-明細'!C:C, A65, '塗裝各項不良率-明細'!I:I, "5OE*") / SUMIFS('塗裝各項不良率-明細'!J:J, '塗裝各項不良率-明細'!C:C, A65, '塗裝各項不良率-明細'!I:I, "5OE*"), 0)</f>
        <v>0</v>
      </c>
      <c r="F65" s="79">
        <f>IFERROR(SUMIFS('塗裝各項不良率-明細'!K:K, '塗裝各項不良率-明細'!C:C, A65, '塗裝各項不良率-明細'!I:I, "5PP*") / SUMIFS('塗裝各項不良率-明細'!J:J, '塗裝各項不良率-明細'!C:C, A65, '塗裝各項不良率-明細'!I:I, "5PP*"), 0)</f>
        <v>0</v>
      </c>
      <c r="G65" s="79">
        <f>IFERROR(SUMIFS('塗裝各項不良率-明細'!K:K, '塗裝各項不良率-明細'!C:C, A65, '塗裝各項不良率-明細'!I:I, "5SN*") / SUMIFS('塗裝各項不良率-明細'!J:J, '塗裝各項不良率-明細'!C:C, A65, '塗裝各項不良率-明細'!I:I, "5SN*"), 0)</f>
        <v>0</v>
      </c>
    </row>
    <row r="66" spans="1:7">
      <c r="A66" s="75">
        <v>46144</v>
      </c>
      <c r="B66" s="76">
        <f>SUMIF('塗裝各項不良率-明細'!C:C,工作表6!A:A,'塗裝各項不良率-明細'!J:J)</f>
        <v>0</v>
      </c>
      <c r="C66" s="76">
        <f>SUMIF('塗裝各項不良率-明細'!C:C,工作表6!A:A,'塗裝各項不良率-明細'!K:K)</f>
        <v>0</v>
      </c>
      <c r="D66" s="77" t="e">
        <f t="shared" ref="D66:D94" si="5">C66/B66%</f>
        <v>#DIV/0!</v>
      </c>
      <c r="E66" s="79">
        <f>IFERROR(SUMIFS('塗裝各項不良率-明細'!K:K, '塗裝各項不良率-明細'!C:C, A66, '塗裝各項不良率-明細'!I:I, "5OE*") / SUMIFS('塗裝各項不良率-明細'!J:J, '塗裝各項不良率-明細'!C:C, A66, '塗裝各項不良率-明細'!I:I, "5OE*"), 0)</f>
        <v>0</v>
      </c>
      <c r="F66" s="79">
        <f>IFERROR(SUMIFS('塗裝各項不良率-明細'!K:K, '塗裝各項不良率-明細'!C:C, A66, '塗裝各項不良率-明細'!I:I, "5PP*") / SUMIFS('塗裝各項不良率-明細'!J:J, '塗裝各項不良率-明細'!C:C, A66, '塗裝各項不良率-明細'!I:I, "5PP*"), 0)</f>
        <v>0</v>
      </c>
      <c r="G66" s="79">
        <f>IFERROR(SUMIFS('塗裝各項不良率-明細'!K:K, '塗裝各項不良率-明細'!C:C, A66, '塗裝各項不良率-明細'!I:I, "5SN*") / SUMIFS('塗裝各項不良率-明細'!J:J, '塗裝各項不良率-明細'!C:C, A66, '塗裝各項不良率-明細'!I:I, "5SN*"), 0)</f>
        <v>0</v>
      </c>
    </row>
    <row r="67" spans="1:7">
      <c r="A67" s="75">
        <v>46145</v>
      </c>
      <c r="B67" s="76">
        <f>SUMIF('塗裝各項不良率-明細'!C:C,工作表6!A:A,'塗裝各項不良率-明細'!J:J)</f>
        <v>0</v>
      </c>
      <c r="C67" s="76">
        <f>SUMIF('塗裝各項不良率-明細'!C:C,工作表6!A:A,'塗裝各項不良率-明細'!K:K)</f>
        <v>0</v>
      </c>
      <c r="D67" s="77" t="e">
        <f t="shared" si="5"/>
        <v>#DIV/0!</v>
      </c>
      <c r="E67" s="79">
        <f>IFERROR(SUMIFS('塗裝各項不良率-明細'!K:K, '塗裝各項不良率-明細'!C:C, A67, '塗裝各項不良率-明細'!I:I, "5OE*") / SUMIFS('塗裝各項不良率-明細'!J:J, '塗裝各項不良率-明細'!C:C, A67, '塗裝各項不良率-明細'!I:I, "5OE*"), 0)</f>
        <v>0</v>
      </c>
      <c r="F67" s="79">
        <f>IFERROR(SUMIFS('塗裝各項不良率-明細'!K:K, '塗裝各項不良率-明細'!C:C, A67, '塗裝各項不良率-明細'!I:I, "5PP*") / SUMIFS('塗裝各項不良率-明細'!J:J, '塗裝各項不良率-明細'!C:C, A67, '塗裝各項不良率-明細'!I:I, "5PP*"), 0)</f>
        <v>0</v>
      </c>
      <c r="G67" s="79">
        <f>IFERROR(SUMIFS('塗裝各項不良率-明細'!K:K, '塗裝各項不良率-明細'!C:C, A67, '塗裝各項不良率-明細'!I:I, "5SN*") / SUMIFS('塗裝各項不良率-明細'!J:J, '塗裝各項不良率-明細'!C:C, A67, '塗裝各項不良率-明細'!I:I, "5SN*"), 0)</f>
        <v>0</v>
      </c>
    </row>
    <row r="68" spans="1:7">
      <c r="A68" s="72">
        <v>46146</v>
      </c>
      <c r="B68" s="71">
        <f>SUMIF('塗裝各項不良率-明細'!C:C,工作表6!A:A,'塗裝各項不良率-明細'!J:J)</f>
        <v>17868</v>
      </c>
      <c r="C68" s="71">
        <f>SUMIF('塗裝各項不良率-明細'!C:C,工作表6!A:A,'塗裝各項不良率-明細'!K:K)</f>
        <v>1233</v>
      </c>
      <c r="D68" s="70">
        <f t="shared" si="5"/>
        <v>6.9006044325050366</v>
      </c>
      <c r="E68" s="86">
        <f>IFERROR(SUMIFS('塗裝各項不良率-明細'!K:K, '塗裝各項不良率-明細'!C:C, A68, '塗裝各項不良率-明細'!I:I, "5OE*") / SUMIFS('塗裝各項不良率-明細'!J:J, '塗裝各項不良率-明細'!C:C, A68, '塗裝各項不良率-明細'!I:I, "5OE*"), 0)</f>
        <v>3.7685677608655786E-2</v>
      </c>
      <c r="F68" s="86">
        <f>IFERROR(SUMIFS('塗裝各項不良率-明細'!K:K, '塗裝各項不良率-明細'!C:C, A68, '塗裝各項不良率-明細'!I:I, "5PP*") / SUMIFS('塗裝各項不良率-明細'!J:J, '塗裝各項不良率-明細'!C:C, A68, '塗裝各項不良率-明細'!I:I, "5PP*"), 0)</f>
        <v>0.11806952025280092</v>
      </c>
      <c r="G68" s="86">
        <f>IFERROR(SUMIFS('塗裝各項不良率-明細'!K:K, '塗裝各項不良率-明細'!C:C, A68, '塗裝各項不良率-明細'!I:I, "5SN*") / SUMIFS('塗裝各項不良率-明細'!J:J, '塗裝各項不良率-明細'!C:C, A68, '塗裝各項不良率-明細'!I:I, "5SN*"), 0)</f>
        <v>0</v>
      </c>
    </row>
    <row r="69" spans="1:7">
      <c r="A69" s="72">
        <v>46147</v>
      </c>
      <c r="B69" s="71">
        <f>SUMIF('塗裝各項不良率-明細'!C:C,工作表6!A:A,'塗裝各項不良率-明細'!J:J)</f>
        <v>48240</v>
      </c>
      <c r="C69" s="71">
        <f>SUMIF('塗裝各項不良率-明細'!C:C,工作表6!A:A,'塗裝各項不良率-明細'!K:K)</f>
        <v>1983</v>
      </c>
      <c r="D69" s="70">
        <f t="shared" si="5"/>
        <v>4.1106965174129355</v>
      </c>
      <c r="E69" s="86">
        <f>IFERROR(SUMIFS('塗裝各項不良率-明細'!K:K, '塗裝各項不良率-明細'!C:C, A69, '塗裝各項不良率-明細'!I:I, "5OE*") / SUMIFS('塗裝各項不良率-明細'!J:J, '塗裝各項不良率-明細'!C:C, A69, '塗裝各項不良率-明細'!I:I, "5OE*"), 0)</f>
        <v>3.5491071428571427E-2</v>
      </c>
      <c r="F69" s="86">
        <f>IFERROR(SUMIFS('塗裝各項不良率-明細'!K:K, '塗裝各項不良率-明細'!C:C, A69, '塗裝各項不良率-明細'!I:I, "5PP*") / SUMIFS('塗裝各項不良率-明細'!J:J, '塗裝各項不良率-明細'!C:C, A69, '塗裝各項不良率-明細'!I:I, "5PP*"), 0)</f>
        <v>0.11424418604651163</v>
      </c>
      <c r="G69" s="86">
        <f>IFERROR(SUMIFS('塗裝各項不良率-明細'!K:K, '塗裝各項不良率-明細'!C:C, A69, '塗裝各項不良率-明細'!I:I, "5SN*") / SUMIFS('塗裝各項不良率-明細'!J:J, '塗裝各項不良率-明細'!C:C, A69, '塗裝各項不良率-明細'!I:I, "5SN*"), 0)</f>
        <v>0</v>
      </c>
    </row>
    <row r="70" spans="1:7">
      <c r="A70" s="72">
        <v>46148</v>
      </c>
      <c r="B70" s="71">
        <f>SUMIF('塗裝各項不良率-明細'!C:C,工作表6!A:A,'塗裝各項不良率-明細'!J:J)</f>
        <v>29248</v>
      </c>
      <c r="C70" s="71">
        <f>SUMIF('塗裝各項不良率-明細'!C:C,工作表6!A:A,'塗裝各項不良率-明細'!K:K)</f>
        <v>865</v>
      </c>
      <c r="D70" s="70">
        <f t="shared" si="5"/>
        <v>2.9574671772428882</v>
      </c>
      <c r="E70" s="86">
        <f>IFERROR(SUMIFS('塗裝各項不良率-明細'!K:K, '塗裝各項不良率-明細'!C:C, A70, '塗裝各項不良率-明細'!I:I, "5OE*") / SUMIFS('塗裝各項不良率-明細'!J:J, '塗裝各項不良率-明細'!C:C, A70, '塗裝各項不良率-明細'!I:I, "5OE*"), 0)</f>
        <v>2.5334323922734027E-2</v>
      </c>
      <c r="F70" s="86">
        <f>IFERROR(SUMIFS('塗裝各項不良率-明細'!K:K, '塗裝各項不良率-明細'!C:C, A70, '塗裝各項不良率-明細'!I:I, "5PP*") / SUMIFS('塗裝各項不良率-明細'!J:J, '塗裝各項不良率-明細'!C:C, A70, '塗裝各項不良率-明細'!I:I, "5PP*"), 0)</f>
        <v>7.8608247422680411E-2</v>
      </c>
      <c r="G70" s="86">
        <f>IFERROR(SUMIFS('塗裝各項不良率-明細'!K:K, '塗裝各項不良率-明細'!C:C, A70, '塗裝各項不良率-明細'!I:I, "5SN*") / SUMIFS('塗裝各項不良率-明細'!J:J, '塗裝各項不良率-明細'!C:C, A70, '塗裝各項不良率-明細'!I:I, "5SN*"), 0)</f>
        <v>0</v>
      </c>
    </row>
    <row r="71" spans="1:7">
      <c r="A71" s="72">
        <v>46149</v>
      </c>
      <c r="B71" s="71">
        <f>SUMIF('塗裝各項不良率-明細'!C:C,工作表6!A:A,'塗裝各項不良率-明細'!J:J)</f>
        <v>29612</v>
      </c>
      <c r="C71" s="71">
        <f>SUMIF('塗裝各項不良率-明細'!C:C,工作表6!A:A,'塗裝各項不良率-明細'!K:K)</f>
        <v>1340</v>
      </c>
      <c r="D71" s="70">
        <f t="shared" si="5"/>
        <v>4.5251924895312712</v>
      </c>
      <c r="E71" s="86">
        <f>IFERROR(SUMIFS('塗裝各項不良率-明細'!K:K, '塗裝各項不良率-明細'!C:C, A71, '塗裝各項不良率-明細'!I:I, "5OE*") / SUMIFS('塗裝各項不良率-明細'!J:J, '塗裝各項不良率-明細'!C:C, A71, '塗裝各項不良率-明細'!I:I, "5OE*"), 0)</f>
        <v>2.9478045943588254E-2</v>
      </c>
      <c r="F71" s="86">
        <f>IFERROR(SUMIFS('塗裝各項不良率-明細'!K:K, '塗裝各項不良率-明細'!C:C, A71, '塗裝各項不良率-明細'!I:I, "5PP*") / SUMIFS('塗裝各項不良率-明細'!J:J, '塗裝各項不良率-明細'!C:C, A71, '塗裝各項不良率-明細'!I:I, "5PP*"), 0)</f>
        <v>0.25190476190476191</v>
      </c>
      <c r="G71" s="86">
        <f>IFERROR(SUMIFS('塗裝各項不良率-明細'!K:K, '塗裝各項不良率-明細'!C:C, A71, '塗裝各項不良率-明細'!I:I, "5SN*") / SUMIFS('塗裝各項不良率-明細'!J:J, '塗裝各項不良率-明細'!C:C, A71, '塗裝各項不良率-明細'!I:I, "5SN*"), 0)</f>
        <v>0</v>
      </c>
    </row>
    <row r="72" spans="1:7">
      <c r="A72" s="80">
        <v>46150</v>
      </c>
      <c r="B72" s="81">
        <f>SUMIF('塗裝各項不良率-明細'!C:C,工作表6!A:A,'塗裝各項不良率-明細'!J:J)</f>
        <v>18002</v>
      </c>
      <c r="C72" s="81">
        <f>SUMIF('塗裝各項不良率-明細'!C:C,工作表6!A:A,'塗裝各項不良率-明細'!K:K)</f>
        <v>621</v>
      </c>
      <c r="D72" s="82">
        <f t="shared" si="5"/>
        <v>3.4496167092545269</v>
      </c>
      <c r="E72" s="86">
        <f>IFERROR(SUMIFS('塗裝各項不良率-明細'!K:K, '塗裝各項不良率-明細'!C:C, A72, '塗裝各項不良率-明細'!I:I, "5OE*") / SUMIFS('塗裝各項不良率-明細'!J:J, '塗裝各項不良率-明細'!C:C, A72, '塗裝各項不良率-明細'!I:I, "5OE*"), 0)</f>
        <v>2.8025827723588404E-2</v>
      </c>
      <c r="F72" s="86">
        <f>IFERROR(SUMIFS('塗裝各項不良率-明細'!K:K, '塗裝各項不良率-明細'!C:C, A72, '塗裝各項不良率-明細'!I:I, "5PP*") / SUMIFS('塗裝各項不良率-明細'!J:J, '塗裝各項不良率-明細'!C:C, A72, '塗裝各項不良率-明細'!I:I, "5PP*"), 0)</f>
        <v>6.1692126909518211E-2</v>
      </c>
      <c r="G72" s="86">
        <f>IFERROR(SUMIFS('塗裝各項不良率-明細'!K:K, '塗裝各項不良率-明細'!C:C, A72, '塗裝各項不良率-明細'!I:I, "5SN*") / SUMIFS('塗裝各項不良率-明細'!J:J, '塗裝各項不良率-明細'!C:C, A72, '塗裝各項不良率-明細'!I:I, "5SN*"), 0)</f>
        <v>7.4999999999999997E-2</v>
      </c>
    </row>
    <row r="73" spans="1:7">
      <c r="A73" s="75">
        <v>46151</v>
      </c>
      <c r="B73" s="76">
        <f>SUMIF('塗裝各項不良率-明細'!C:C,工作表6!A:A,'塗裝各項不良率-明細'!J:J)</f>
        <v>0</v>
      </c>
      <c r="C73" s="76">
        <f>SUMIF('塗裝各項不良率-明細'!C:C,工作表6!A:A,'塗裝各項不良率-明細'!K:K)</f>
        <v>0</v>
      </c>
      <c r="D73" s="77" t="e">
        <f t="shared" si="5"/>
        <v>#DIV/0!</v>
      </c>
      <c r="E73" s="79">
        <f>IFERROR(SUMIFS('塗裝各項不良率-明細'!K:K, '塗裝各項不良率-明細'!C:C, A73, '塗裝各項不良率-明細'!I:I, "5OE*") / SUMIFS('塗裝各項不良率-明細'!J:J, '塗裝各項不良率-明細'!C:C, A73, '塗裝各項不良率-明細'!I:I, "5OE*"), 0)</f>
        <v>0</v>
      </c>
      <c r="F73" s="79">
        <f>IFERROR(SUMIFS('塗裝各項不良率-明細'!K:K, '塗裝各項不良率-明細'!C:C, A73, '塗裝各項不良率-明細'!I:I, "5PP*") / SUMIFS('塗裝各項不良率-明細'!J:J, '塗裝各項不良率-明細'!C:C, A73, '塗裝各項不良率-明細'!I:I, "5PP*"), 0)</f>
        <v>0</v>
      </c>
      <c r="G73" s="79">
        <f>IFERROR(SUMIFS('塗裝各項不良率-明細'!K:K, '塗裝各項不良率-明細'!C:C, A73, '塗裝各項不良率-明細'!I:I, "5SN*") / SUMIFS('塗裝各項不良率-明細'!J:J, '塗裝各項不良率-明細'!C:C, A73, '塗裝各項不良率-明細'!I:I, "5SN*"), 0)</f>
        <v>0</v>
      </c>
    </row>
    <row r="74" spans="1:7">
      <c r="A74" s="75">
        <v>46152</v>
      </c>
      <c r="B74" s="76">
        <f>SUMIF('塗裝各項不良率-明細'!C:C,工作表6!A:A,'塗裝各項不良率-明細'!J:J)</f>
        <v>0</v>
      </c>
      <c r="C74" s="76">
        <f>SUMIF('塗裝各項不良率-明細'!C:C,工作表6!A:A,'塗裝各項不良率-明細'!K:K)</f>
        <v>0</v>
      </c>
      <c r="D74" s="77" t="e">
        <f t="shared" si="5"/>
        <v>#DIV/0!</v>
      </c>
      <c r="E74" s="79">
        <f>IFERROR(SUMIFS('塗裝各項不良率-明細'!K:K, '塗裝各項不良率-明細'!C:C, A74, '塗裝各項不良率-明細'!I:I, "5OE*") / SUMIFS('塗裝各項不良率-明細'!J:J, '塗裝各項不良率-明細'!C:C, A74, '塗裝各項不良率-明細'!I:I, "5OE*"), 0)</f>
        <v>0</v>
      </c>
      <c r="F74" s="79">
        <f>IFERROR(SUMIFS('塗裝各項不良率-明細'!K:K, '塗裝各項不良率-明細'!C:C, A74, '塗裝各項不良率-明細'!I:I, "5PP*") / SUMIFS('塗裝各項不良率-明細'!J:J, '塗裝各項不良率-明細'!C:C, A74, '塗裝各項不良率-明細'!I:I, "5PP*"), 0)</f>
        <v>0</v>
      </c>
      <c r="G74" s="79">
        <f>IFERROR(SUMIFS('塗裝各項不良率-明細'!K:K, '塗裝各項不良率-明細'!C:C, A74, '塗裝各項不良率-明細'!I:I, "5SN*") / SUMIFS('塗裝各項不良率-明細'!J:J, '塗裝各項不良率-明細'!C:C, A74, '塗裝各項不良率-明細'!I:I, "5SN*"), 0)</f>
        <v>0</v>
      </c>
    </row>
    <row r="75" spans="1:7">
      <c r="A75" s="83">
        <v>46153</v>
      </c>
      <c r="B75" s="84">
        <f>SUMIF('塗裝各項不良率-明細'!C:C,工作表6!A:A,'塗裝各項不良率-明細'!J:J)</f>
        <v>30666</v>
      </c>
      <c r="C75" s="84">
        <f>SUMIF('塗裝各項不良率-明細'!C:C,工作表6!A:A,'塗裝各項不良率-明細'!K:K)</f>
        <v>857</v>
      </c>
      <c r="D75" s="85">
        <f t="shared" si="5"/>
        <v>2.7946259701297853</v>
      </c>
      <c r="E75" s="86">
        <f>IFERROR(SUMIFS('塗裝各項不良率-明細'!K:K, '塗裝各項不良率-明細'!C:C, A75, '塗裝各項不良率-明細'!I:I, "5OE*") / SUMIFS('塗裝各項不良率-明細'!J:J, '塗裝各項不良率-明細'!C:C, A75, '塗裝各項不良率-明細'!I:I, "5OE*"), 0)</f>
        <v>2.5149659395857702E-2</v>
      </c>
      <c r="F75" s="86">
        <f>IFERROR(SUMIFS('塗裝各項不良率-明細'!K:K, '塗裝各項不良率-明細'!C:C, A75, '塗裝各項不良率-明細'!I:I, "5PP*") / SUMIFS('塗裝各項不良率-明細'!J:J, '塗裝各項不良率-明細'!C:C, A75, '塗裝各項不良率-明細'!I:I, "5PP*"), 0)</f>
        <v>7.8750000000000001E-2</v>
      </c>
      <c r="G75" s="86">
        <f>IFERROR(SUMIFS('塗裝各項不良率-明細'!K:K, '塗裝各項不良率-明細'!C:C, A75, '塗裝各項不良率-明細'!I:I, "5SN*") / SUMIFS('塗裝各項不良率-明細'!J:J, '塗裝各項不良率-明細'!C:C, A75, '塗裝各項不良率-明細'!I:I, "5SN*"), 0)</f>
        <v>0</v>
      </c>
    </row>
    <row r="76" spans="1:7">
      <c r="A76" s="72">
        <v>46154</v>
      </c>
      <c r="B76" s="71">
        <f>SUMIF('塗裝各項不良率-明細'!C:C,工作表6!A:A,'塗裝各項不良率-明細'!J:J)</f>
        <v>58724</v>
      </c>
      <c r="C76" s="71">
        <f>SUMIF('塗裝各項不良率-明細'!C:C,工作表6!A:A,'塗裝各項不良率-明細'!K:K)</f>
        <v>2055</v>
      </c>
      <c r="D76" s="70">
        <f t="shared" si="5"/>
        <v>3.49942102036646</v>
      </c>
      <c r="E76" s="86">
        <f>IFERROR(SUMIFS('塗裝各項不良率-明細'!K:K, '塗裝各項不良率-明細'!C:C, A76, '塗裝各項不良率-明細'!I:I, "5OE*") / SUMIFS('塗裝各項不良率-明細'!J:J, '塗裝各項不良率-明細'!C:C, A76, '塗裝各項不良率-明細'!I:I, "5OE*"), 0)</f>
        <v>3.0237268518518517E-2</v>
      </c>
      <c r="F76" s="86">
        <f>IFERROR(SUMIFS('塗裝各項不良率-明細'!K:K, '塗裝各項不良率-明細'!C:C, A76, '塗裝各項不良率-明細'!I:I, "5PP*") / SUMIFS('塗裝各項不良率-明細'!J:J, '塗裝各項不良率-明細'!C:C, A76, '塗裝各項不良率-明細'!I:I, "5PP*"), 0)</f>
        <v>0.10899344848123883</v>
      </c>
      <c r="G76" s="86">
        <f>IFERROR(SUMIFS('塗裝各項不良率-明細'!K:K, '塗裝各項不良率-明細'!C:C, A76, '塗裝各項不良率-明細'!I:I, "5SN*") / SUMIFS('塗裝各項不良率-明細'!J:J, '塗裝各項不良率-明細'!C:C, A76, '塗裝各項不良率-明細'!I:I, "5SN*"), 0)</f>
        <v>0.24285714285714285</v>
      </c>
    </row>
    <row r="77" spans="1:7">
      <c r="A77" s="72">
        <v>46155</v>
      </c>
      <c r="B77" s="71">
        <f>SUMIF('塗裝各項不良率-明細'!C:C,工作表6!A:A,'塗裝各項不良率-明細'!J:J)</f>
        <v>43266</v>
      </c>
      <c r="C77" s="71">
        <f>SUMIF('塗裝各項不良率-明細'!C:C,工作表6!A:A,'塗裝各項不良率-明細'!K:K)</f>
        <v>1313</v>
      </c>
      <c r="D77" s="70">
        <f t="shared" si="5"/>
        <v>3.0347154809781349</v>
      </c>
      <c r="E77" s="86">
        <f>IFERROR(SUMIFS('塗裝各項不良率-明細'!K:K, '塗裝各項不良率-明細'!C:C, A77, '塗裝各項不良率-明細'!I:I, "5OE*") / SUMIFS('塗裝各項不良率-明細'!J:J, '塗裝各項不良率-明細'!C:C, A77, '塗裝各項不良率-明細'!I:I, "5OE*"), 0)</f>
        <v>2.7465335014059924E-2</v>
      </c>
      <c r="F77" s="86">
        <f>IFERROR(SUMIFS('塗裝各項不良率-明細'!K:K, '塗裝各項不良率-明細'!C:C, A77, '塗裝各項不良率-明細'!I:I, "5PP*") / SUMIFS('塗裝各項不良率-明細'!J:J, '塗裝各項不良率-明細'!C:C, A77, '塗裝各項不良率-明細'!I:I, "5PP*"), 0)</f>
        <v>8.7701612903225812E-2</v>
      </c>
      <c r="G77" s="86">
        <f>IFERROR(SUMIFS('塗裝各項不良率-明細'!K:K, '塗裝各項不良率-明細'!C:C, A77, '塗裝各項不良率-明細'!I:I, "5SN*") / SUMIFS('塗裝各項不良率-明細'!J:J, '塗裝各項不良率-明細'!C:C, A77, '塗裝各項不良率-明細'!I:I, "5SN*"), 0)</f>
        <v>0.2</v>
      </c>
    </row>
    <row r="78" spans="1:7">
      <c r="A78" s="72">
        <v>46156</v>
      </c>
      <c r="B78" s="71">
        <f>SUMIF('塗裝各項不良率-明細'!C:C,工作表6!A:A,'塗裝各項不良率-明細'!J:J)</f>
        <v>35240</v>
      </c>
      <c r="C78" s="71">
        <f>SUMIF('塗裝各項不良率-明細'!C:C,工作表6!A:A,'塗裝各項不良率-明細'!K:K)</f>
        <v>1782</v>
      </c>
      <c r="D78" s="70">
        <f t="shared" si="5"/>
        <v>5.0567536889897848</v>
      </c>
      <c r="E78" s="86">
        <f>IFERROR(SUMIFS('塗裝各項不良率-明細'!K:K, '塗裝各項不良率-明細'!C:C, A78, '塗裝各項不良率-明細'!I:I, "5OE*") / SUMIFS('塗裝各項不良率-明細'!J:J, '塗裝各項不良率-明細'!C:C, A78, '塗裝各項不良率-明細'!I:I, "5OE*"), 0)</f>
        <v>3.5749999999999997E-2</v>
      </c>
      <c r="F78" s="86">
        <f>IFERROR(SUMIFS('塗裝各項不良率-明細'!K:K, '塗裝各項不良率-明細'!C:C, A78, '塗裝各項不良率-明細'!I:I, "5PP*") / SUMIFS('塗裝各項不良率-明細'!J:J, '塗裝各項不良率-明細'!C:C, A78, '塗裝各項不良率-明細'!I:I, "5PP*"), 0)</f>
        <v>0.10787292817679558</v>
      </c>
      <c r="G78" s="86">
        <f>IFERROR(SUMIFS('塗裝各項不良率-明細'!K:K, '塗裝各項不良率-明細'!C:C, A78, '塗裝各項不良率-明細'!I:I, "5SN*") / SUMIFS('塗裝各項不良率-明細'!J:J, '塗裝各項不良率-明細'!C:C, A78, '塗裝各項不良率-明細'!I:I, "5SN*"), 0)</f>
        <v>0</v>
      </c>
    </row>
    <row r="79" spans="1:7">
      <c r="A79" s="80">
        <v>46157</v>
      </c>
      <c r="B79" s="81">
        <f>SUMIF('塗裝各項不良率-明細'!C:C,工作表6!A:A,'塗裝各項不良率-明細'!J:J)</f>
        <v>29962</v>
      </c>
      <c r="C79" s="81">
        <f>SUMIF('塗裝各項不良率-明細'!C:C,工作表6!A:A,'塗裝各項不良率-明細'!K:K)</f>
        <v>1537</v>
      </c>
      <c r="D79" s="82">
        <f t="shared" si="5"/>
        <v>5.1298311194179291</v>
      </c>
      <c r="E79" s="86">
        <f>IFERROR(SUMIFS('塗裝各項不良率-明細'!K:K, '塗裝各項不良率-明細'!C:C, A79, '塗裝各項不良率-明細'!I:I, "5OE*") / SUMIFS('塗裝各項不良率-明細'!J:J, '塗裝各項不良率-明細'!C:C, A79, '塗裝各項不良率-明細'!I:I, "5OE*"), 0)</f>
        <v>4.4402583423035519E-2</v>
      </c>
      <c r="F79" s="86">
        <f>IFERROR(SUMIFS('塗裝各項不良率-明細'!K:K, '塗裝各項不良率-明細'!C:C, A79, '塗裝各項不良率-明細'!I:I, "5PP*") / SUMIFS('塗裝各項不良率-明細'!J:J, '塗裝各項不良率-明細'!C:C, A79, '塗裝各項不良率-明細'!I:I, "5PP*"), 0)</f>
        <v>9.670886075949367E-2</v>
      </c>
      <c r="G79" s="86">
        <f>IFERROR(SUMIFS('塗裝各項不良率-明細'!K:K, '塗裝各項不良率-明細'!C:C, A79, '塗裝各項不良率-明細'!I:I, "5SN*") / SUMIFS('塗裝各項不良率-明細'!J:J, '塗裝各項不良率-明細'!C:C, A79, '塗裝各項不良率-明細'!I:I, "5SN*"), 0)</f>
        <v>0</v>
      </c>
    </row>
    <row r="80" spans="1:7">
      <c r="A80" s="75">
        <v>46158</v>
      </c>
      <c r="B80" s="76">
        <f>SUMIF('塗裝各項不良率-明細'!C:C,工作表6!A:A,'塗裝各項不良率-明細'!J:J)</f>
        <v>0</v>
      </c>
      <c r="C80" s="76">
        <f>SUMIF('塗裝各項不良率-明細'!C:C,工作表6!A:A,'塗裝各項不良率-明細'!K:K)</f>
        <v>0</v>
      </c>
      <c r="D80" s="77" t="e">
        <f t="shared" si="5"/>
        <v>#DIV/0!</v>
      </c>
      <c r="E80" s="79">
        <f>IFERROR(SUMIFS('塗裝各項不良率-明細'!K:K, '塗裝各項不良率-明細'!C:C, A80, '塗裝各項不良率-明細'!I:I, "5OE*") / SUMIFS('塗裝各項不良率-明細'!J:J, '塗裝各項不良率-明細'!C:C, A80, '塗裝各項不良率-明細'!I:I, "5OE*"), 0)</f>
        <v>0</v>
      </c>
      <c r="F80" s="79">
        <f>IFERROR(SUMIFS('塗裝各項不良率-明細'!K:K, '塗裝各項不良率-明細'!C:C, A80, '塗裝各項不良率-明細'!I:I, "5PP*") / SUMIFS('塗裝各項不良率-明細'!J:J, '塗裝各項不良率-明細'!C:C, A80, '塗裝各項不良率-明細'!I:I, "5PP*"), 0)</f>
        <v>0</v>
      </c>
      <c r="G80" s="79">
        <f>IFERROR(SUMIFS('塗裝各項不良率-明細'!K:K, '塗裝各項不良率-明細'!C:C, A80, '塗裝各項不良率-明細'!I:I, "5SN*") / SUMIFS('塗裝各項不良率-明細'!J:J, '塗裝各項不良率-明細'!C:C, A80, '塗裝各項不良率-明細'!I:I, "5SN*"), 0)</f>
        <v>0</v>
      </c>
    </row>
    <row r="81" spans="1:7">
      <c r="A81" s="75">
        <v>46159</v>
      </c>
      <c r="B81" s="76">
        <f>SUMIF('塗裝各項不良率-明細'!C:C,工作表6!A:A,'塗裝各項不良率-明細'!J:J)</f>
        <v>0</v>
      </c>
      <c r="C81" s="76">
        <f>SUMIF('塗裝各項不良率-明細'!C:C,工作表6!A:A,'塗裝各項不良率-明細'!K:K)</f>
        <v>0</v>
      </c>
      <c r="D81" s="77" t="e">
        <f t="shared" si="5"/>
        <v>#DIV/0!</v>
      </c>
      <c r="E81" s="79">
        <f>IFERROR(SUMIFS('塗裝各項不良率-明細'!K:K, '塗裝各項不良率-明細'!C:C, A81, '塗裝各項不良率-明細'!I:I, "5OE*") / SUMIFS('塗裝各項不良率-明細'!J:J, '塗裝各項不良率-明細'!C:C, A81, '塗裝各項不良率-明細'!I:I, "5OE*"), 0)</f>
        <v>0</v>
      </c>
      <c r="F81" s="79">
        <f>IFERROR(SUMIFS('塗裝各項不良率-明細'!K:K, '塗裝各項不良率-明細'!C:C, A81, '塗裝各項不良率-明細'!I:I, "5PP*") / SUMIFS('塗裝各項不良率-明細'!J:J, '塗裝各項不良率-明細'!C:C, A81, '塗裝各項不良率-明細'!I:I, "5PP*"), 0)</f>
        <v>0</v>
      </c>
      <c r="G81" s="79">
        <f>IFERROR(SUMIFS('塗裝各項不良率-明細'!K:K, '塗裝各項不良率-明細'!C:C, A81, '塗裝各項不良率-明細'!I:I, "5SN*") / SUMIFS('塗裝各項不良率-明細'!J:J, '塗裝各項不良率-明細'!C:C, A81, '塗裝各項不良率-明細'!I:I, "5SN*"), 0)</f>
        <v>0</v>
      </c>
    </row>
    <row r="82" spans="1:7">
      <c r="A82" s="83">
        <v>46160</v>
      </c>
      <c r="B82" s="84">
        <f>SUMIF('塗裝各項不良率-明細'!C:C,工作表6!A:A,'塗裝各項不良率-明細'!J:J)</f>
        <v>34272</v>
      </c>
      <c r="C82" s="84">
        <f>SUMIF('塗裝各項不良率-明細'!C:C,工作表6!A:A,'塗裝各項不良率-明細'!K:K)</f>
        <v>2501</v>
      </c>
      <c r="D82" s="85">
        <f t="shared" si="5"/>
        <v>7.2975023342670395</v>
      </c>
      <c r="E82" s="86">
        <f>IFERROR(SUMIFS('塗裝各項不良率-明細'!K:K, '塗裝各項不良率-明細'!C:C, A82, '塗裝各項不良率-明細'!I:I, "5OE*") / SUMIFS('塗裝各項不良率-明細'!J:J, '塗裝各項不良率-明細'!C:C, A82, '塗裝各項不良率-明細'!I:I, "5OE*"), 0)</f>
        <v>4.8789489223501625E-2</v>
      </c>
      <c r="F82" s="86">
        <f>IFERROR(SUMIFS('塗裝各項不良率-明細'!K:K, '塗裝各項不良率-明細'!C:C, A82, '塗裝各項不良率-明細'!I:I, "5PP*") / SUMIFS('塗裝各項不良率-明細'!J:J, '塗裝各項不良率-明細'!C:C, A82, '塗裝各項不良率-明細'!I:I, "5PP*"), 0)</f>
        <v>0.16429765886287626</v>
      </c>
      <c r="G82" s="86">
        <f>IFERROR(SUMIFS('塗裝各項不良率-明細'!K:K, '塗裝各項不良率-明細'!C:C, A82, '塗裝各項不良率-明細'!I:I, "5SN*") / SUMIFS('塗裝各項不良率-明細'!J:J, '塗裝各項不良率-明細'!C:C, A82, '塗裝各項不良率-明細'!I:I, "5SN*"), 0)</f>
        <v>0</v>
      </c>
    </row>
    <row r="83" spans="1:7">
      <c r="A83" s="72">
        <v>46161</v>
      </c>
      <c r="B83" s="71">
        <f>SUMIF('塗裝各項不良率-明細'!C:C,工作表6!A:A,'塗裝各項不良率-明細'!J:J)</f>
        <v>30848</v>
      </c>
      <c r="C83" s="71">
        <f>SUMIF('塗裝各項不良率-明細'!C:C,工作表6!A:A,'塗裝各項不良率-明細'!K:K)</f>
        <v>1111</v>
      </c>
      <c r="D83" s="70">
        <f t="shared" si="5"/>
        <v>3.6015300829875518</v>
      </c>
      <c r="E83" s="86">
        <f>IFERROR(SUMIFS('塗裝各項不良率-明細'!K:K, '塗裝各項不良率-明細'!C:C, A83, '塗裝各項不良率-明細'!I:I, "5OE*") / SUMIFS('塗裝各項不良率-明細'!J:J, '塗裝各項不良率-明細'!C:C, A83, '塗裝各項不良率-明細'!I:I, "5OE*"), 0)</f>
        <v>2.6857849916296674E-2</v>
      </c>
      <c r="F83" s="86">
        <f>IFERROR(SUMIFS('塗裝各項不良率-明細'!K:K, '塗裝各項不良率-明細'!C:C, A83, '塗裝各項不良率-明細'!I:I, "5PP*") / SUMIFS('塗裝各項不良率-明細'!J:J, '塗裝各項不良率-明細'!C:C, A83, '塗裝各項不良率-明細'!I:I, "5PP*"), 0)</f>
        <v>0.11068249258160237</v>
      </c>
      <c r="G83" s="86">
        <f>IFERROR(SUMIFS('塗裝各項不良率-明細'!K:K, '塗裝各項不良率-明細'!C:C, A83, '塗裝各項不良率-明細'!I:I, "5SN*") / SUMIFS('塗裝各項不良率-明細'!J:J, '塗裝各項不良率-明細'!C:C, A83, '塗裝各項不良率-明細'!I:I, "5SN*"), 0)</f>
        <v>0</v>
      </c>
    </row>
    <row r="84" spans="1:7">
      <c r="A84" s="72">
        <v>46162</v>
      </c>
      <c r="B84" s="71">
        <f>SUMIF('塗裝各項不良率-明細'!C:C,工作表6!A:A,'塗裝各項不良率-明細'!J:J)</f>
        <v>36854</v>
      </c>
      <c r="C84" s="71">
        <f>SUMIF('塗裝各項不良率-明細'!C:C,工作表6!A:A,'塗裝各項不良率-明細'!K:K)</f>
        <v>1446</v>
      </c>
      <c r="D84" s="70">
        <f t="shared" si="5"/>
        <v>3.9235903836761272</v>
      </c>
      <c r="E84" s="86">
        <f>IFERROR(SUMIFS('塗裝各項不良率-明細'!K:K, '塗裝各項不良率-明細'!C:C, A84, '塗裝各項不良率-明細'!I:I, "5OE*") / SUMIFS('塗裝各項不良率-明細'!J:J, '塗裝各項不良率-明細'!C:C, A84, '塗裝各項不良率-明細'!I:I, "5OE*"), 0)</f>
        <v>3.1412553462027509E-2</v>
      </c>
      <c r="F84" s="86">
        <f>IFERROR(SUMIFS('塗裝各項不良率-明細'!K:K, '塗裝各項不良率-明細'!C:C, A84, '塗裝各項不良率-明細'!I:I, "5PP*") / SUMIFS('塗裝各項不良率-明細'!J:J, '塗裝各項不良率-明細'!C:C, A84, '塗裝各項不良率-明細'!I:I, "5PP*"), 0)</f>
        <v>0.15955555555555556</v>
      </c>
      <c r="G84" s="86">
        <f>IFERROR(SUMIFS('塗裝各項不良率-明細'!K:K, '塗裝各項不良率-明細'!C:C, A84, '塗裝各項不良率-明細'!I:I, "5SN*") / SUMIFS('塗裝各項不良率-明細'!J:J, '塗裝各項不良率-明細'!C:C, A84, '塗裝各項不良率-明細'!I:I, "5SN*"), 0)</f>
        <v>0</v>
      </c>
    </row>
    <row r="85" spans="1:7">
      <c r="A85" s="72">
        <v>46163</v>
      </c>
      <c r="B85" s="71">
        <f>SUMIF('塗裝各項不良率-明細'!C:C,工作表6!A:A,'塗裝各項不良率-明細'!J:J)</f>
        <v>37764</v>
      </c>
      <c r="C85" s="71">
        <f>SUMIF('塗裝各項不良率-明細'!C:C,工作表6!A:A,'塗裝各項不良率-明細'!K:K)</f>
        <v>1160</v>
      </c>
      <c r="D85" s="70">
        <f t="shared" si="5"/>
        <v>3.0717085054549309</v>
      </c>
      <c r="E85" s="86">
        <f>IFERROR(SUMIFS('塗裝各項不良率-明細'!K:K, '塗裝各項不良率-明細'!C:C, A85, '塗裝各項不良率-明細'!I:I, "5OE*") / SUMIFS('塗裝各項不良率-明細'!J:J, '塗裝各項不良率-明細'!C:C, A85, '塗裝各項不良率-明細'!I:I, "5OE*"), 0)</f>
        <v>2.7253668763102725E-2</v>
      </c>
      <c r="F85" s="86">
        <f>IFERROR(SUMIFS('塗裝各項不良率-明細'!K:K, '塗裝各項不良率-明細'!C:C, A85, '塗裝各項不良率-明細'!I:I, "5PP*") / SUMIFS('塗裝各項不良率-明細'!J:J, '塗裝各項不良率-明細'!C:C, A85, '塗裝各項不良率-明細'!I:I, "5PP*"), 0)</f>
        <v>6.5497076023391818E-2</v>
      </c>
      <c r="G85" s="86">
        <f>IFERROR(SUMIFS('塗裝各項不良率-明細'!K:K, '塗裝各項不良率-明細'!C:C, A85, '塗裝各項不良率-明細'!I:I, "5SN*") / SUMIFS('塗裝各項不良率-明細'!J:J, '塗裝各項不良率-明細'!C:C, A85, '塗裝各項不良率-明細'!I:I, "5SN*"), 0)</f>
        <v>0</v>
      </c>
    </row>
    <row r="86" spans="1:7">
      <c r="A86" s="80">
        <v>46164</v>
      </c>
      <c r="B86" s="81">
        <f>SUMIF('塗裝各項不良率-明細'!C:C,工作表6!A:A,'塗裝各項不良率-明細'!J:J)</f>
        <v>0</v>
      </c>
      <c r="C86" s="81">
        <f>SUMIF('塗裝各項不良率-明細'!C:C,工作表6!A:A,'塗裝各項不良率-明細'!K:K)</f>
        <v>0</v>
      </c>
      <c r="D86" s="82" t="e">
        <f t="shared" si="5"/>
        <v>#DIV/0!</v>
      </c>
      <c r="E86" s="86">
        <f>IFERROR(SUMIFS('塗裝各項不良率-明細'!K:K, '塗裝各項不良率-明細'!C:C, A86, '塗裝各項不良率-明細'!I:I, "5OE*") / SUMIFS('塗裝各項不良率-明細'!J:J, '塗裝各項不良率-明細'!C:C, A86, '塗裝各項不良率-明細'!I:I, "5OE*"), 0)</f>
        <v>0</v>
      </c>
      <c r="F86" s="86">
        <f>IFERROR(SUMIFS('塗裝各項不良率-明細'!K:K, '塗裝各項不良率-明細'!C:C, A86, '塗裝各項不良率-明細'!I:I, "5PP*") / SUMIFS('塗裝各項不良率-明細'!J:J, '塗裝各項不良率-明細'!C:C, A86, '塗裝各項不良率-明細'!I:I, "5PP*"), 0)</f>
        <v>0</v>
      </c>
      <c r="G86" s="86">
        <f>IFERROR(SUMIFS('塗裝各項不良率-明細'!K:K, '塗裝各項不良率-明細'!C:C, A86, '塗裝各項不良率-明細'!I:I, "5SN*") / SUMIFS('塗裝各項不良率-明細'!J:J, '塗裝各項不良率-明細'!C:C, A86, '塗裝各項不良率-明細'!I:I, "5SN*"), 0)</f>
        <v>0</v>
      </c>
    </row>
    <row r="87" spans="1:7">
      <c r="A87" s="75">
        <v>46165</v>
      </c>
      <c r="B87" s="76">
        <f>SUMIF('塗裝各項不良率-明細'!C:C,工作表6!A:A,'塗裝各項不良率-明細'!J:J)</f>
        <v>0</v>
      </c>
      <c r="C87" s="76">
        <f>SUMIF('塗裝各項不良率-明細'!C:C,工作表6!A:A,'塗裝各項不良率-明細'!K:K)</f>
        <v>0</v>
      </c>
      <c r="D87" s="77" t="e">
        <f t="shared" si="5"/>
        <v>#DIV/0!</v>
      </c>
      <c r="E87" s="79">
        <f>IFERROR(SUMIFS('塗裝各項不良率-明細'!K:K, '塗裝各項不良率-明細'!C:C, A87, '塗裝各項不良率-明細'!I:I, "5OE*") / SUMIFS('塗裝各項不良率-明細'!J:J, '塗裝各項不良率-明細'!C:C, A87, '塗裝各項不良率-明細'!I:I, "5OE*"), 0)</f>
        <v>0</v>
      </c>
      <c r="F87" s="79">
        <f>IFERROR(SUMIFS('塗裝各項不良率-明細'!K:K, '塗裝各項不良率-明細'!C:C, A87, '塗裝各項不良率-明細'!I:I, "5PP*") / SUMIFS('塗裝各項不良率-明細'!J:J, '塗裝各項不良率-明細'!C:C, A87, '塗裝各項不良率-明細'!I:I, "5PP*"), 0)</f>
        <v>0</v>
      </c>
      <c r="G87" s="79">
        <f>IFERROR(SUMIFS('塗裝各項不良率-明細'!K:K, '塗裝各項不良率-明細'!C:C, A87, '塗裝各項不良率-明細'!I:I, "5SN*") / SUMIFS('塗裝各項不良率-明細'!J:J, '塗裝各項不良率-明細'!C:C, A87, '塗裝各項不良率-明細'!I:I, "5SN*"), 0)</f>
        <v>0</v>
      </c>
    </row>
    <row r="88" spans="1:7">
      <c r="A88" s="75">
        <v>46166</v>
      </c>
      <c r="B88" s="76">
        <f>SUMIF('塗裝各項不良率-明細'!C:C,工作表6!A:A,'塗裝各項不良率-明細'!J:J)</f>
        <v>0</v>
      </c>
      <c r="C88" s="76">
        <f>SUMIF('塗裝各項不良率-明細'!C:C,工作表6!A:A,'塗裝各項不良率-明細'!K:K)</f>
        <v>0</v>
      </c>
      <c r="D88" s="77" t="e">
        <f t="shared" si="5"/>
        <v>#DIV/0!</v>
      </c>
      <c r="E88" s="79">
        <f>IFERROR(SUMIFS('塗裝各項不良率-明細'!K:K, '塗裝各項不良率-明細'!C:C, A88, '塗裝各項不良率-明細'!I:I, "5OE*") / SUMIFS('塗裝各項不良率-明細'!J:J, '塗裝各項不良率-明細'!C:C, A88, '塗裝各項不良率-明細'!I:I, "5OE*"), 0)</f>
        <v>0</v>
      </c>
      <c r="F88" s="79">
        <f>IFERROR(SUMIFS('塗裝各項不良率-明細'!K:K, '塗裝各項不良率-明細'!C:C, A88, '塗裝各項不良率-明細'!I:I, "5PP*") / SUMIFS('塗裝各項不良率-明細'!J:J, '塗裝各項不良率-明細'!C:C, A88, '塗裝各項不良率-明細'!I:I, "5PP*"), 0)</f>
        <v>0</v>
      </c>
      <c r="G88" s="79">
        <f>IFERROR(SUMIFS('塗裝各項不良率-明細'!K:K, '塗裝各項不良率-明細'!C:C, A88, '塗裝各項不良率-明細'!I:I, "5SN*") / SUMIFS('塗裝各項不良率-明細'!J:J, '塗裝各項不良率-明細'!C:C, A88, '塗裝各項不良率-明細'!I:I, "5SN*"), 0)</f>
        <v>0</v>
      </c>
    </row>
    <row r="89" spans="1:7">
      <c r="A89" s="83">
        <v>46167</v>
      </c>
      <c r="B89" s="84">
        <f>SUMIF('塗裝各項不良率-明細'!C:C,工作表6!A:A,'塗裝各項不良率-明細'!J:J)</f>
        <v>0</v>
      </c>
      <c r="C89" s="84">
        <f>SUMIF('塗裝各項不良率-明細'!C:C,工作表6!A:A,'塗裝各項不良率-明細'!K:K)</f>
        <v>0</v>
      </c>
      <c r="D89" s="85" t="e">
        <f t="shared" si="5"/>
        <v>#DIV/0!</v>
      </c>
      <c r="E89" s="86">
        <f>IFERROR(SUMIFS('塗裝各項不良率-明細'!K:K, '塗裝各項不良率-明細'!C:C, A89, '塗裝各項不良率-明細'!I:I, "5OE*") / SUMIFS('塗裝各項不良率-明細'!J:J, '塗裝各項不良率-明細'!C:C, A89, '塗裝各項不良率-明細'!I:I, "5OE*"), 0)</f>
        <v>0</v>
      </c>
      <c r="F89" s="86">
        <f>IFERROR(SUMIFS('塗裝各項不良率-明細'!K:K, '塗裝各項不良率-明細'!C:C, A89, '塗裝各項不良率-明細'!I:I, "5PP*") / SUMIFS('塗裝各項不良率-明細'!J:J, '塗裝各項不良率-明細'!C:C, A89, '塗裝各項不良率-明細'!I:I, "5PP*"), 0)</f>
        <v>0</v>
      </c>
      <c r="G89" s="86">
        <f>IFERROR(SUMIFS('塗裝各項不良率-明細'!K:K, '塗裝各項不良率-明細'!C:C, A89, '塗裝各項不良率-明細'!I:I, "5SN*") / SUMIFS('塗裝各項不良率-明細'!J:J, '塗裝各項不良率-明細'!C:C, A89, '塗裝各項不良率-明細'!I:I, "5SN*"), 0)</f>
        <v>0</v>
      </c>
    </row>
    <row r="90" spans="1:7">
      <c r="A90" s="72">
        <v>46168</v>
      </c>
      <c r="B90" s="71">
        <f>SUMIF('塗裝各項不良率-明細'!C:C,工作表6!A:A,'塗裝各項不良率-明細'!J:J)</f>
        <v>0</v>
      </c>
      <c r="C90" s="71">
        <f>SUMIF('塗裝各項不良率-明細'!C:C,工作表6!A:A,'塗裝各項不良率-明細'!K:K)</f>
        <v>0</v>
      </c>
      <c r="D90" s="70" t="e">
        <f t="shared" si="5"/>
        <v>#DIV/0!</v>
      </c>
      <c r="E90" s="86">
        <f>IFERROR(SUMIFS('塗裝各項不良率-明細'!K:K, '塗裝各項不良率-明細'!C:C, A90, '塗裝各項不良率-明細'!I:I, "5OE*") / SUMIFS('塗裝各項不良率-明細'!J:J, '塗裝各項不良率-明細'!C:C, A90, '塗裝各項不良率-明細'!I:I, "5OE*"), 0)</f>
        <v>0</v>
      </c>
      <c r="F90" s="86">
        <f>IFERROR(SUMIFS('塗裝各項不良率-明細'!K:K, '塗裝各項不良率-明細'!C:C, A90, '塗裝各項不良率-明細'!I:I, "5PP*") / SUMIFS('塗裝各項不良率-明細'!J:J, '塗裝各項不良率-明細'!C:C, A90, '塗裝各項不良率-明細'!I:I, "5PP*"), 0)</f>
        <v>0</v>
      </c>
      <c r="G90" s="86">
        <f>IFERROR(SUMIFS('塗裝各項不良率-明細'!K:K, '塗裝各項不良率-明細'!C:C, A90, '塗裝各項不良率-明細'!I:I, "5SN*") / SUMIFS('塗裝各項不良率-明細'!J:J, '塗裝各項不良率-明細'!C:C, A90, '塗裝各項不良率-明細'!I:I, "5SN*"), 0)</f>
        <v>0</v>
      </c>
    </row>
    <row r="91" spans="1:7">
      <c r="A91" s="72">
        <v>46169</v>
      </c>
      <c r="B91" s="71">
        <f>SUMIF('塗裝各項不良率-明細'!C:C,工作表6!A:A,'塗裝各項不良率-明細'!J:J)</f>
        <v>0</v>
      </c>
      <c r="C91" s="71">
        <f>SUMIF('塗裝各項不良率-明細'!C:C,工作表6!A:A,'塗裝各項不良率-明細'!K:K)</f>
        <v>0</v>
      </c>
      <c r="D91" s="70" t="e">
        <f t="shared" si="5"/>
        <v>#DIV/0!</v>
      </c>
      <c r="E91" s="86">
        <f>IFERROR(SUMIFS('塗裝各項不良率-明細'!K:K, '塗裝各項不良率-明細'!C:C, A91, '塗裝各項不良率-明細'!I:I, "5OE*") / SUMIFS('塗裝各項不良率-明細'!J:J, '塗裝各項不良率-明細'!C:C, A91, '塗裝各項不良率-明細'!I:I, "5OE*"), 0)</f>
        <v>0</v>
      </c>
      <c r="F91" s="86">
        <f>IFERROR(SUMIFS('塗裝各項不良率-明細'!K:K, '塗裝各項不良率-明細'!C:C, A91, '塗裝各項不良率-明細'!I:I, "5PP*") / SUMIFS('塗裝各項不良率-明細'!J:J, '塗裝各項不良率-明細'!C:C, A91, '塗裝各項不良率-明細'!I:I, "5PP*"), 0)</f>
        <v>0</v>
      </c>
      <c r="G91" s="86">
        <f>IFERROR(SUMIFS('塗裝各項不良率-明細'!K:K, '塗裝各項不良率-明細'!C:C, A91, '塗裝各項不良率-明細'!I:I, "5SN*") / SUMIFS('塗裝各項不良率-明細'!J:J, '塗裝各項不良率-明細'!C:C, A91, '塗裝各項不良率-明細'!I:I, "5SN*"), 0)</f>
        <v>0</v>
      </c>
    </row>
    <row r="92" spans="1:7">
      <c r="A92" s="72">
        <v>46170</v>
      </c>
      <c r="B92" s="71">
        <f>SUMIF('塗裝各項不良率-明細'!C:C,工作表6!A:A,'塗裝各項不良率-明細'!J:J)</f>
        <v>0</v>
      </c>
      <c r="C92" s="71">
        <f>SUMIF('塗裝各項不良率-明細'!C:C,工作表6!A:A,'塗裝各項不良率-明細'!K:K)</f>
        <v>0</v>
      </c>
      <c r="D92" s="70" t="e">
        <f t="shared" si="5"/>
        <v>#DIV/0!</v>
      </c>
      <c r="E92" s="86">
        <f>IFERROR(SUMIFS('塗裝各項不良率-明細'!K:K, '塗裝各項不良率-明細'!C:C, A92, '塗裝各項不良率-明細'!I:I, "5OE*") / SUMIFS('塗裝各項不良率-明細'!J:J, '塗裝各項不良率-明細'!C:C, A92, '塗裝各項不良率-明細'!I:I, "5OE*"), 0)</f>
        <v>0</v>
      </c>
      <c r="F92" s="86">
        <f>IFERROR(SUMIFS('塗裝各項不良率-明細'!K:K, '塗裝各項不良率-明細'!C:C, A92, '塗裝各項不良率-明細'!I:I, "5PP*") / SUMIFS('塗裝各項不良率-明細'!J:J, '塗裝各項不良率-明細'!C:C, A92, '塗裝各項不良率-明細'!I:I, "5PP*"), 0)</f>
        <v>0</v>
      </c>
      <c r="G92" s="86">
        <f>IFERROR(SUMIFS('塗裝各項不良率-明細'!K:K, '塗裝各項不良率-明細'!C:C, A92, '塗裝各項不良率-明細'!I:I, "5SN*") / SUMIFS('塗裝各項不良率-明細'!J:J, '塗裝各項不良率-明細'!C:C, A92, '塗裝各項不良率-明細'!I:I, "5SN*"), 0)</f>
        <v>0</v>
      </c>
    </row>
    <row r="93" spans="1:7">
      <c r="A93" s="80">
        <v>46171</v>
      </c>
      <c r="B93" s="81">
        <f>SUMIF('塗裝各項不良率-明細'!C:C,工作表6!A:A,'塗裝各項不良率-明細'!J:J)</f>
        <v>0</v>
      </c>
      <c r="C93" s="81">
        <f>SUMIF('塗裝各項不良率-明細'!C:C,工作表6!A:A,'塗裝各項不良率-明細'!K:K)</f>
        <v>0</v>
      </c>
      <c r="D93" s="82" t="e">
        <f t="shared" si="5"/>
        <v>#DIV/0!</v>
      </c>
      <c r="E93" s="86">
        <f>IFERROR(SUMIFS('塗裝各項不良率-明細'!K:K, '塗裝各項不良率-明細'!C:C, A93, '塗裝各項不良率-明細'!I:I, "5OE*") / SUMIFS('塗裝各項不良率-明細'!J:J, '塗裝各項不良率-明細'!C:C, A93, '塗裝各項不良率-明細'!I:I, "5OE*"), 0)</f>
        <v>0</v>
      </c>
      <c r="F93" s="86">
        <f>IFERROR(SUMIFS('塗裝各項不良率-明細'!K:K, '塗裝各項不良率-明細'!C:C, A93, '塗裝各項不良率-明細'!I:I, "5PP*") / SUMIFS('塗裝各項不良率-明細'!J:J, '塗裝各項不良率-明細'!C:C, A93, '塗裝各項不良率-明細'!I:I, "5PP*"), 0)</f>
        <v>0</v>
      </c>
      <c r="G93" s="86">
        <f>IFERROR(SUMIFS('塗裝各項不良率-明細'!K:K, '塗裝各項不良率-明細'!C:C, A93, '塗裝各項不良率-明細'!I:I, "5SN*") / SUMIFS('塗裝各項不良率-明細'!J:J, '塗裝各項不良率-明細'!C:C, A93, '塗裝各項不良率-明細'!I:I, "5SN*"), 0)</f>
        <v>0</v>
      </c>
    </row>
    <row r="94" spans="1:7">
      <c r="A94" s="75">
        <v>46172</v>
      </c>
      <c r="B94" s="76">
        <f>SUMIF('塗裝各項不良率-明細'!C:C,工作表6!A:A,'塗裝各項不良率-明細'!J:J)</f>
        <v>0</v>
      </c>
      <c r="C94" s="76">
        <f>SUMIF('塗裝各項不良率-明細'!C:C,工作表6!A:A,'塗裝各項不良率-明細'!K:K)</f>
        <v>0</v>
      </c>
      <c r="D94" s="77" t="e">
        <f t="shared" si="5"/>
        <v>#DIV/0!</v>
      </c>
      <c r="E94" s="79">
        <f>IFERROR(SUMIFS('塗裝各項不良率-明細'!K:K, '塗裝各項不良率-明細'!C:C, A94, '塗裝各項不良率-明細'!I:I, "5OE*") / SUMIFS('塗裝各項不良率-明細'!J:J, '塗裝各項不良率-明細'!C:C, A94, '塗裝各項不良率-明細'!I:I, "5OE*"), 0)</f>
        <v>0</v>
      </c>
      <c r="F94" s="79">
        <f>IFERROR(SUMIFS('塗裝各項不良率-明細'!K:K, '塗裝各項不良率-明細'!C:C, A94, '塗裝各項不良率-明細'!I:I, "5PP*") / SUMIFS('塗裝各項不良率-明細'!J:J, '塗裝各項不良率-明細'!C:C, A94, '塗裝各項不良率-明細'!I:I, "5PP*"), 0)</f>
        <v>0</v>
      </c>
      <c r="G94" s="79">
        <f>IFERROR(SUMIFS('塗裝各項不良率-明細'!K:K, '塗裝各項不良率-明細'!C:C, A94, '塗裝各項不良率-明細'!I:I, "5SN*") / SUMIFS('塗裝各項不良率-明細'!J:J, '塗裝各項不良率-明細'!C:C, A94, '塗裝各項不良率-明細'!I:I, "5SN*"), 0)</f>
        <v>0</v>
      </c>
    </row>
    <row r="95" spans="1:7">
      <c r="A95" s="75">
        <v>46173</v>
      </c>
      <c r="B95" s="76">
        <f>SUMIF('塗裝各項不良率-明細'!C:C,工作表6!A:A,'塗裝各項不良率-明細'!J:J)</f>
        <v>0</v>
      </c>
      <c r="C95" s="76">
        <f>SUMIF('塗裝各項不良率-明細'!C:C,工作表6!A:A,'塗裝各項不良率-明細'!K:K)</f>
        <v>0</v>
      </c>
      <c r="D95" s="77" t="e">
        <f t="shared" ref="D95" si="6">C95/B95%</f>
        <v>#DIV/0!</v>
      </c>
      <c r="E95" s="79">
        <f>IFERROR(SUMIFS('塗裝各項不良率-明細'!K:K, '塗裝各項不良率-明細'!C:C, A95, '塗裝各項不良率-明細'!I:I, "5OE*") / SUMIFS('塗裝各項不良率-明細'!J:J, '塗裝各項不良率-明細'!C:C, A95, '塗裝各項不良率-明細'!I:I, "5OE*"), 0)</f>
        <v>0</v>
      </c>
      <c r="F95" s="79">
        <f>IFERROR(SUMIFS('塗裝各項不良率-明細'!K:K, '塗裝各項不良率-明細'!C:C, A95, '塗裝各項不良率-明細'!I:I, "5PP*") / SUMIFS('塗裝各項不良率-明細'!J:J, '塗裝各項不良率-明細'!C:C, A95, '塗裝各項不良率-明細'!I:I, "5PP*"), 0)</f>
        <v>0</v>
      </c>
      <c r="G95" s="79">
        <f>IFERROR(SUMIFS('塗裝各項不良率-明細'!K:K, '塗裝各項不良率-明細'!C:C, A95, '塗裝各項不良率-明細'!I:I, "5SN*") / SUMIFS('塗裝各項不良率-明細'!J:J, '塗裝各項不良率-明細'!C:C, A95, '塗裝各項不良率-明細'!I:I, "5SN*"), 0)</f>
        <v>0</v>
      </c>
    </row>
    <row r="97" spans="1:7">
      <c r="A97" s="88">
        <v>46174</v>
      </c>
      <c r="B97" s="71">
        <f>SUMIF('塗裝各項不良率-明細'!C:C,工作表6!A:A,'塗裝各項不良率-明細'!J:J)</f>
        <v>0</v>
      </c>
      <c r="C97" s="71">
        <f>SUMIF('塗裝各項不良率-明細'!C:C,工作表6!A:A,'塗裝各項不良率-明細'!K:K)</f>
        <v>0</v>
      </c>
      <c r="D97" s="70" t="e">
        <f t="shared" ref="D97:D99" si="7">C97/B97%</f>
        <v>#DIV/0!</v>
      </c>
      <c r="E97" s="86">
        <f>IFERROR(SUMIFS('塗裝各項不良率-明細'!K:K, '塗裝各項不良率-明細'!C:C, A97, '塗裝各項不良率-明細'!I:I, "5OE*") / SUMIFS('塗裝各項不良率-明細'!J:J, '塗裝各項不良率-明細'!C:C, A97, '塗裝各項不良率-明細'!I:I, "5OE*"), 0)</f>
        <v>0</v>
      </c>
      <c r="F97" s="86">
        <f>IFERROR(SUMIFS('塗裝各項不良率-明細'!K:K, '塗裝各項不良率-明細'!C:C, A97, '塗裝各項不良率-明細'!I:I, "5PP*") / SUMIFS('塗裝各項不良率-明細'!J:J, '塗裝各項不良率-明細'!C:C, A97, '塗裝各項不良率-明細'!I:I, "5PP*"), 0)</f>
        <v>0</v>
      </c>
      <c r="G97" s="86">
        <f>IFERROR(SUMIFS('塗裝各項不良率-明細'!K:K, '塗裝各項不良率-明細'!C:C, A97, '塗裝各項不良率-明細'!I:I, "5SN*") / SUMIFS('塗裝各項不良率-明細'!J:J, '塗裝各項不良率-明細'!C:C, A97, '塗裝各項不良率-明細'!I:I, "5SN*"), 0)</f>
        <v>0</v>
      </c>
    </row>
    <row r="98" spans="1:7">
      <c r="A98" s="88">
        <v>46175</v>
      </c>
      <c r="B98" s="71">
        <f>SUMIF('塗裝各項不良率-明細'!C:C,工作表6!A:A,'塗裝各項不良率-明細'!J:J)</f>
        <v>0</v>
      </c>
      <c r="C98" s="71">
        <f>SUMIF('塗裝各項不良率-明細'!C:C,工作表6!A:A,'塗裝各項不良率-明細'!K:K)</f>
        <v>0</v>
      </c>
      <c r="D98" s="70" t="e">
        <f t="shared" si="7"/>
        <v>#DIV/0!</v>
      </c>
      <c r="E98" s="86">
        <f>IFERROR(SUMIFS('塗裝各項不良率-明細'!K:K, '塗裝各項不良率-明細'!C:C, A98, '塗裝各項不良率-明細'!I:I, "5OE*") / SUMIFS('塗裝各項不良率-明細'!J:J, '塗裝各項不良率-明細'!C:C, A98, '塗裝各項不良率-明細'!I:I, "5OE*"), 0)</f>
        <v>0</v>
      </c>
      <c r="F98" s="86">
        <f>IFERROR(SUMIFS('塗裝各項不良率-明細'!K:K, '塗裝各項不良率-明細'!C:C, A98, '塗裝各項不良率-明細'!I:I, "5PP*") / SUMIFS('塗裝各項不良率-明細'!J:J, '塗裝各項不良率-明細'!C:C, A98, '塗裝各項不良率-明細'!I:I, "5PP*"), 0)</f>
        <v>0</v>
      </c>
      <c r="G98" s="86">
        <f>IFERROR(SUMIFS('塗裝各項不良率-明細'!K:K, '塗裝各項不良率-明細'!C:C, A98, '塗裝各項不良率-明細'!I:I, "5SN*") / SUMIFS('塗裝各項不良率-明細'!J:J, '塗裝各項不良率-明細'!C:C, A98, '塗裝各項不良率-明細'!I:I, "5SN*"), 0)</f>
        <v>0</v>
      </c>
    </row>
    <row r="99" spans="1:7">
      <c r="A99" s="88">
        <v>46176</v>
      </c>
      <c r="B99" s="71">
        <f>SUMIF('塗裝各項不良率-明細'!C:C,工作表6!A:A,'塗裝各項不良率-明細'!J:J)</f>
        <v>0</v>
      </c>
      <c r="C99" s="71">
        <f>SUMIF('塗裝各項不良率-明細'!C:C,工作表6!A:A,'塗裝各項不良率-明細'!K:K)</f>
        <v>0</v>
      </c>
      <c r="D99" s="70" t="e">
        <f t="shared" si="7"/>
        <v>#DIV/0!</v>
      </c>
      <c r="E99" s="86">
        <f>IFERROR(SUMIFS('塗裝各項不良率-明細'!K:K, '塗裝各項不良率-明細'!C:C, A99, '塗裝各項不良率-明細'!I:I, "5OE*") / SUMIFS('塗裝各項不良率-明細'!J:J, '塗裝各項不良率-明細'!C:C, A99, '塗裝各項不良率-明細'!I:I, "5OE*"), 0)</f>
        <v>0</v>
      </c>
      <c r="F99" s="86">
        <f>IFERROR(SUMIFS('塗裝各項不良率-明細'!K:K, '塗裝各項不良率-明細'!C:C, A99, '塗裝各項不良率-明細'!I:I, "5PP*") / SUMIFS('塗裝各項不良率-明細'!J:J, '塗裝各項不良率-明細'!C:C, A99, '塗裝各項不良率-明細'!I:I, "5PP*"), 0)</f>
        <v>0</v>
      </c>
      <c r="G99" s="86">
        <f>IFERROR(SUMIFS('塗裝各項不良率-明細'!K:K, '塗裝各項不良率-明細'!C:C, A99, '塗裝各項不良率-明細'!I:I, "5SN*") / SUMIFS('塗裝各項不良率-明細'!J:J, '塗裝各項不良率-明細'!C:C, A99, '塗裝各項不良率-明細'!I:I, "5SN*"), 0)</f>
        <v>0</v>
      </c>
    </row>
    <row r="100" spans="1:7">
      <c r="A100" s="88">
        <v>46177</v>
      </c>
      <c r="B100" s="71">
        <f>SUMIF('塗裝各項不良率-明細'!C:C,工作表6!A:A,'塗裝各項不良率-明細'!J:J)</f>
        <v>0</v>
      </c>
      <c r="C100" s="71">
        <f>SUMIF('塗裝各項不良率-明細'!C:C,工作表6!A:A,'塗裝各項不良率-明細'!K:K)</f>
        <v>0</v>
      </c>
      <c r="D100" s="70" t="e">
        <f t="shared" ref="D100:D163" si="8">C100/B100%</f>
        <v>#DIV/0!</v>
      </c>
      <c r="E100" s="86">
        <f>IFERROR(SUMIFS('塗裝各項不良率-明細'!K:K, '塗裝各項不良率-明細'!C:C, A100, '塗裝各項不良率-明細'!I:I, "5OE*") / SUMIFS('塗裝各項不良率-明細'!J:J, '塗裝各項不良率-明細'!C:C, A100, '塗裝各項不良率-明細'!I:I, "5OE*"), 0)</f>
        <v>0</v>
      </c>
      <c r="F100" s="86">
        <f>IFERROR(SUMIFS('塗裝各項不良率-明細'!K:K, '塗裝各項不良率-明細'!C:C, A100, '塗裝各項不良率-明細'!I:I, "5PP*") / SUMIFS('塗裝各項不良率-明細'!J:J, '塗裝各項不良率-明細'!C:C, A100, '塗裝各項不良率-明細'!I:I, "5PP*"), 0)</f>
        <v>0</v>
      </c>
      <c r="G100" s="86">
        <f>IFERROR(SUMIFS('塗裝各項不良率-明細'!K:K, '塗裝各項不良率-明細'!C:C, A100, '塗裝各項不良率-明細'!I:I, "5SN*") / SUMIFS('塗裝各項不良率-明細'!J:J, '塗裝各項不良率-明細'!C:C, A100, '塗裝各項不良率-明細'!I:I, "5SN*"), 0)</f>
        <v>0</v>
      </c>
    </row>
    <row r="101" spans="1:7">
      <c r="A101" s="88">
        <v>46178</v>
      </c>
      <c r="B101" s="71">
        <f>SUMIF('塗裝各項不良率-明細'!C:C,工作表6!A:A,'塗裝各項不良率-明細'!J:J)</f>
        <v>0</v>
      </c>
      <c r="C101" s="71">
        <f>SUMIF('塗裝各項不良率-明細'!C:C,工作表6!A:A,'塗裝各項不良率-明細'!K:K)</f>
        <v>0</v>
      </c>
      <c r="D101" s="70" t="e">
        <f t="shared" si="8"/>
        <v>#DIV/0!</v>
      </c>
      <c r="E101" s="86">
        <f>IFERROR(SUMIFS('塗裝各項不良率-明細'!K:K, '塗裝各項不良率-明細'!C:C, A101, '塗裝各項不良率-明細'!I:I, "5OE*") / SUMIFS('塗裝各項不良率-明細'!J:J, '塗裝各項不良率-明細'!C:C, A101, '塗裝各項不良率-明細'!I:I, "5OE*"), 0)</f>
        <v>0</v>
      </c>
      <c r="F101" s="86">
        <f>IFERROR(SUMIFS('塗裝各項不良率-明細'!K:K, '塗裝各項不良率-明細'!C:C, A101, '塗裝各項不良率-明細'!I:I, "5PP*") / SUMIFS('塗裝各項不良率-明細'!J:J, '塗裝各項不良率-明細'!C:C, A101, '塗裝各項不良率-明細'!I:I, "5PP*"), 0)</f>
        <v>0</v>
      </c>
      <c r="G101" s="86">
        <f>IFERROR(SUMIFS('塗裝各項不良率-明細'!K:K, '塗裝各項不良率-明細'!C:C, A101, '塗裝各項不良率-明細'!I:I, "5SN*") / SUMIFS('塗裝各項不良率-明細'!J:J, '塗裝各項不良率-明細'!C:C, A101, '塗裝各項不良率-明細'!I:I, "5SN*"), 0)</f>
        <v>0</v>
      </c>
    </row>
    <row r="102" spans="1:7">
      <c r="A102" s="75">
        <v>46179</v>
      </c>
      <c r="B102" s="76">
        <f>SUMIF('塗裝各項不良率-明細'!C:C,工作表6!A:A,'塗裝各項不良率-明細'!J:J)</f>
        <v>0</v>
      </c>
      <c r="C102" s="76">
        <f>SUMIF('塗裝各項不良率-明細'!C:C,工作表6!A:A,'塗裝各項不良率-明細'!K:K)</f>
        <v>0</v>
      </c>
      <c r="D102" s="77" t="e">
        <f t="shared" si="8"/>
        <v>#DIV/0!</v>
      </c>
      <c r="E102" s="79">
        <f>IFERROR(SUMIFS('塗裝各項不良率-明細'!K:K, '塗裝各項不良率-明細'!C:C, A102, '塗裝各項不良率-明細'!I:I, "5OE*") / SUMIFS('塗裝各項不良率-明細'!J:J, '塗裝各項不良率-明細'!C:C, A102, '塗裝各項不良率-明細'!I:I, "5OE*"), 0)</f>
        <v>0</v>
      </c>
      <c r="F102" s="79">
        <f>IFERROR(SUMIFS('塗裝各項不良率-明細'!K:K, '塗裝各項不良率-明細'!C:C, A102, '塗裝各項不良率-明細'!I:I, "5PP*") / SUMIFS('塗裝各項不良率-明細'!J:J, '塗裝各項不良率-明細'!C:C, A102, '塗裝各項不良率-明細'!I:I, "5PP*"), 0)</f>
        <v>0</v>
      </c>
      <c r="G102" s="79">
        <f>IFERROR(SUMIFS('塗裝各項不良率-明細'!K:K, '塗裝各項不良率-明細'!C:C, A102, '塗裝各項不良率-明細'!I:I, "5SN*") / SUMIFS('塗裝各項不良率-明細'!J:J, '塗裝各項不良率-明細'!C:C, A102, '塗裝各項不良率-明細'!I:I, "5SN*"), 0)</f>
        <v>0</v>
      </c>
    </row>
    <row r="103" spans="1:7">
      <c r="A103" s="75">
        <v>46180</v>
      </c>
      <c r="B103" s="76">
        <f>SUMIF('塗裝各項不良率-明細'!C:C,工作表6!A:A,'塗裝各項不良率-明細'!J:J)</f>
        <v>0</v>
      </c>
      <c r="C103" s="76">
        <f>SUMIF('塗裝各項不良率-明細'!C:C,工作表6!A:A,'塗裝各項不良率-明細'!K:K)</f>
        <v>0</v>
      </c>
      <c r="D103" s="77" t="e">
        <f t="shared" si="8"/>
        <v>#DIV/0!</v>
      </c>
      <c r="E103" s="79">
        <f>IFERROR(SUMIFS('塗裝各項不良率-明細'!K:K, '塗裝各項不良率-明細'!C:C, A103, '塗裝各項不良率-明細'!I:I, "5OE*") / SUMIFS('塗裝各項不良率-明細'!J:J, '塗裝各項不良率-明細'!C:C, A103, '塗裝各項不良率-明細'!I:I, "5OE*"), 0)</f>
        <v>0</v>
      </c>
      <c r="F103" s="79">
        <f>IFERROR(SUMIFS('塗裝各項不良率-明細'!K:K, '塗裝各項不良率-明細'!C:C, A103, '塗裝各項不良率-明細'!I:I, "5PP*") / SUMIFS('塗裝各項不良率-明細'!J:J, '塗裝各項不良率-明細'!C:C, A103, '塗裝各項不良率-明細'!I:I, "5PP*"), 0)</f>
        <v>0</v>
      </c>
      <c r="G103" s="79">
        <f>IFERROR(SUMIFS('塗裝各項不良率-明細'!K:K, '塗裝各項不良率-明細'!C:C, A103, '塗裝各項不良率-明細'!I:I, "5SN*") / SUMIFS('塗裝各項不良率-明細'!J:J, '塗裝各項不良率-明細'!C:C, A103, '塗裝各項不良率-明細'!I:I, "5SN*"), 0)</f>
        <v>0</v>
      </c>
    </row>
    <row r="104" spans="1:7">
      <c r="A104" s="88">
        <v>46181</v>
      </c>
      <c r="B104" s="71">
        <f>SUMIF('塗裝各項不良率-明細'!C:C,工作表6!A:A,'塗裝各項不良率-明細'!J:J)</f>
        <v>0</v>
      </c>
      <c r="C104" s="71">
        <f>SUMIF('塗裝各項不良率-明細'!C:C,工作表6!A:A,'塗裝各項不良率-明細'!K:K)</f>
        <v>0</v>
      </c>
      <c r="D104" s="70" t="e">
        <f t="shared" si="8"/>
        <v>#DIV/0!</v>
      </c>
      <c r="E104" s="86">
        <f>IFERROR(SUMIFS('塗裝各項不良率-明細'!K:K, '塗裝各項不良率-明細'!C:C, A104, '塗裝各項不良率-明細'!I:I, "5OE*") / SUMIFS('塗裝各項不良率-明細'!J:J, '塗裝各項不良率-明細'!C:C, A104, '塗裝各項不良率-明細'!I:I, "5OE*"), 0)</f>
        <v>0</v>
      </c>
      <c r="F104" s="86">
        <f>IFERROR(SUMIFS('塗裝各項不良率-明細'!K:K, '塗裝各項不良率-明細'!C:C, A104, '塗裝各項不良率-明細'!I:I, "5PP*") / SUMIFS('塗裝各項不良率-明細'!J:J, '塗裝各項不良率-明細'!C:C, A104, '塗裝各項不良率-明細'!I:I, "5PP*"), 0)</f>
        <v>0</v>
      </c>
      <c r="G104" s="86">
        <f>IFERROR(SUMIFS('塗裝各項不良率-明細'!K:K, '塗裝各項不良率-明細'!C:C, A104, '塗裝各項不良率-明細'!I:I, "5SN*") / SUMIFS('塗裝各項不良率-明細'!J:J, '塗裝各項不良率-明細'!C:C, A104, '塗裝各項不良率-明細'!I:I, "5SN*"), 0)</f>
        <v>0</v>
      </c>
    </row>
    <row r="105" spans="1:7">
      <c r="A105" s="88">
        <v>46182</v>
      </c>
      <c r="B105" s="71">
        <f>SUMIF('塗裝各項不良率-明細'!C:C,工作表6!A:A,'塗裝各項不良率-明細'!J:J)</f>
        <v>0</v>
      </c>
      <c r="C105" s="71">
        <f>SUMIF('塗裝各項不良率-明細'!C:C,工作表6!A:A,'塗裝各項不良率-明細'!K:K)</f>
        <v>0</v>
      </c>
      <c r="D105" s="70" t="e">
        <f t="shared" si="8"/>
        <v>#DIV/0!</v>
      </c>
      <c r="E105" s="86">
        <f>IFERROR(SUMIFS('塗裝各項不良率-明細'!K:K, '塗裝各項不良率-明細'!C:C, A105, '塗裝各項不良率-明細'!I:I, "5OE*") / SUMIFS('塗裝各項不良率-明細'!J:J, '塗裝各項不良率-明細'!C:C, A105, '塗裝各項不良率-明細'!I:I, "5OE*"), 0)</f>
        <v>0</v>
      </c>
      <c r="F105" s="86">
        <f>IFERROR(SUMIFS('塗裝各項不良率-明細'!K:K, '塗裝各項不良率-明細'!C:C, A105, '塗裝各項不良率-明細'!I:I, "5PP*") / SUMIFS('塗裝各項不良率-明細'!J:J, '塗裝各項不良率-明細'!C:C, A105, '塗裝各項不良率-明細'!I:I, "5PP*"), 0)</f>
        <v>0</v>
      </c>
      <c r="G105" s="86">
        <f>IFERROR(SUMIFS('塗裝各項不良率-明細'!K:K, '塗裝各項不良率-明細'!C:C, A105, '塗裝各項不良率-明細'!I:I, "5SN*") / SUMIFS('塗裝各項不良率-明細'!J:J, '塗裝各項不良率-明細'!C:C, A105, '塗裝各項不良率-明細'!I:I, "5SN*"), 0)</f>
        <v>0</v>
      </c>
    </row>
    <row r="106" spans="1:7">
      <c r="A106" s="88">
        <v>46183</v>
      </c>
      <c r="B106" s="71">
        <f>SUMIF('塗裝各項不良率-明細'!C:C,工作表6!A:A,'塗裝各項不良率-明細'!J:J)</f>
        <v>0</v>
      </c>
      <c r="C106" s="71">
        <f>SUMIF('塗裝各項不良率-明細'!C:C,工作表6!A:A,'塗裝各項不良率-明細'!K:K)</f>
        <v>0</v>
      </c>
      <c r="D106" s="70" t="e">
        <f t="shared" si="8"/>
        <v>#DIV/0!</v>
      </c>
      <c r="E106" s="86">
        <f>IFERROR(SUMIFS('塗裝各項不良率-明細'!K:K, '塗裝各項不良率-明細'!C:C, A106, '塗裝各項不良率-明細'!I:I, "5OE*") / SUMIFS('塗裝各項不良率-明細'!J:J, '塗裝各項不良率-明細'!C:C, A106, '塗裝各項不良率-明細'!I:I, "5OE*"), 0)</f>
        <v>0</v>
      </c>
      <c r="F106" s="86">
        <f>IFERROR(SUMIFS('塗裝各項不良率-明細'!K:K, '塗裝各項不良率-明細'!C:C, A106, '塗裝各項不良率-明細'!I:I, "5PP*") / SUMIFS('塗裝各項不良率-明細'!J:J, '塗裝各項不良率-明細'!C:C, A106, '塗裝各項不良率-明細'!I:I, "5PP*"), 0)</f>
        <v>0</v>
      </c>
      <c r="G106" s="86">
        <f>IFERROR(SUMIFS('塗裝各項不良率-明細'!K:K, '塗裝各項不良率-明細'!C:C, A106, '塗裝各項不良率-明細'!I:I, "5SN*") / SUMIFS('塗裝各項不良率-明細'!J:J, '塗裝各項不良率-明細'!C:C, A106, '塗裝各項不良率-明細'!I:I, "5SN*"), 0)</f>
        <v>0</v>
      </c>
    </row>
    <row r="107" spans="1:7">
      <c r="A107" s="88">
        <v>46184</v>
      </c>
      <c r="B107" s="71">
        <f>SUMIF('塗裝各項不良率-明細'!C:C,工作表6!A:A,'塗裝各項不良率-明細'!J:J)</f>
        <v>0</v>
      </c>
      <c r="C107" s="71">
        <f>SUMIF('塗裝各項不良率-明細'!C:C,工作表6!A:A,'塗裝各項不良率-明細'!K:K)</f>
        <v>0</v>
      </c>
      <c r="D107" s="70" t="e">
        <f t="shared" si="8"/>
        <v>#DIV/0!</v>
      </c>
      <c r="E107" s="86">
        <f>IFERROR(SUMIFS('塗裝各項不良率-明細'!K:K, '塗裝各項不良率-明細'!C:C, A107, '塗裝各項不良率-明細'!I:I, "5OE*") / SUMIFS('塗裝各項不良率-明細'!J:J, '塗裝各項不良率-明細'!C:C, A107, '塗裝各項不良率-明細'!I:I, "5OE*"), 0)</f>
        <v>0</v>
      </c>
      <c r="F107" s="86">
        <f>IFERROR(SUMIFS('塗裝各項不良率-明細'!K:K, '塗裝各項不良率-明細'!C:C, A107, '塗裝各項不良率-明細'!I:I, "5PP*") / SUMIFS('塗裝各項不良率-明細'!J:J, '塗裝各項不良率-明細'!C:C, A107, '塗裝各項不良率-明細'!I:I, "5PP*"), 0)</f>
        <v>0</v>
      </c>
      <c r="G107" s="86">
        <f>IFERROR(SUMIFS('塗裝各項不良率-明細'!K:K, '塗裝各項不良率-明細'!C:C, A107, '塗裝各項不良率-明細'!I:I, "5SN*") / SUMIFS('塗裝各項不良率-明細'!J:J, '塗裝各項不良率-明細'!C:C, A107, '塗裝各項不良率-明細'!I:I, "5SN*"), 0)</f>
        <v>0</v>
      </c>
    </row>
    <row r="108" spans="1:7">
      <c r="A108" s="88">
        <v>46185</v>
      </c>
      <c r="B108" s="71">
        <f>SUMIF('塗裝各項不良率-明細'!C:C,工作表6!A:A,'塗裝各項不良率-明細'!J:J)</f>
        <v>0</v>
      </c>
      <c r="C108" s="71">
        <f>SUMIF('塗裝各項不良率-明細'!C:C,工作表6!A:A,'塗裝各項不良率-明細'!K:K)</f>
        <v>0</v>
      </c>
      <c r="D108" s="70" t="e">
        <f t="shared" si="8"/>
        <v>#DIV/0!</v>
      </c>
      <c r="E108" s="86">
        <f>IFERROR(SUMIFS('塗裝各項不良率-明細'!K:K, '塗裝各項不良率-明細'!C:C, A108, '塗裝各項不良率-明細'!I:I, "5OE*") / SUMIFS('塗裝各項不良率-明細'!J:J, '塗裝各項不良率-明細'!C:C, A108, '塗裝各項不良率-明細'!I:I, "5OE*"), 0)</f>
        <v>0</v>
      </c>
      <c r="F108" s="86">
        <f>IFERROR(SUMIFS('塗裝各項不良率-明細'!K:K, '塗裝各項不良率-明細'!C:C, A108, '塗裝各項不良率-明細'!I:I, "5PP*") / SUMIFS('塗裝各項不良率-明細'!J:J, '塗裝各項不良率-明細'!C:C, A108, '塗裝各項不良率-明細'!I:I, "5PP*"), 0)</f>
        <v>0</v>
      </c>
      <c r="G108" s="86">
        <f>IFERROR(SUMIFS('塗裝各項不良率-明細'!K:K, '塗裝各項不良率-明細'!C:C, A108, '塗裝各項不良率-明細'!I:I, "5SN*") / SUMIFS('塗裝各項不良率-明細'!J:J, '塗裝各項不良率-明細'!C:C, A108, '塗裝各項不良率-明細'!I:I, "5SN*"), 0)</f>
        <v>0</v>
      </c>
    </row>
    <row r="109" spans="1:7">
      <c r="A109" s="75">
        <v>46186</v>
      </c>
      <c r="B109" s="76">
        <f>SUMIF('塗裝各項不良率-明細'!C:C,工作表6!A:A,'塗裝各項不良率-明細'!J:J)</f>
        <v>0</v>
      </c>
      <c r="C109" s="76">
        <f>SUMIF('塗裝各項不良率-明細'!C:C,工作表6!A:A,'塗裝各項不良率-明細'!K:K)</f>
        <v>0</v>
      </c>
      <c r="D109" s="77" t="e">
        <f t="shared" si="8"/>
        <v>#DIV/0!</v>
      </c>
      <c r="E109" s="79">
        <f>IFERROR(SUMIFS('塗裝各項不良率-明細'!K:K, '塗裝各項不良率-明細'!C:C, A109, '塗裝各項不良率-明細'!I:I, "5OE*") / SUMIFS('塗裝各項不良率-明細'!J:J, '塗裝各項不良率-明細'!C:C, A109, '塗裝各項不良率-明細'!I:I, "5OE*"), 0)</f>
        <v>0</v>
      </c>
      <c r="F109" s="79">
        <f>IFERROR(SUMIFS('塗裝各項不良率-明細'!K:K, '塗裝各項不良率-明細'!C:C, A109, '塗裝各項不良率-明細'!I:I, "5PP*") / SUMIFS('塗裝各項不良率-明細'!J:J, '塗裝各項不良率-明細'!C:C, A109, '塗裝各項不良率-明細'!I:I, "5PP*"), 0)</f>
        <v>0</v>
      </c>
      <c r="G109" s="79">
        <f>IFERROR(SUMIFS('塗裝各項不良率-明細'!K:K, '塗裝各項不良率-明細'!C:C, A109, '塗裝各項不良率-明細'!I:I, "5SN*") / SUMIFS('塗裝各項不良率-明細'!J:J, '塗裝各項不良率-明細'!C:C, A109, '塗裝各項不良率-明細'!I:I, "5SN*"), 0)</f>
        <v>0</v>
      </c>
    </row>
    <row r="110" spans="1:7">
      <c r="A110" s="75">
        <v>46187</v>
      </c>
      <c r="B110" s="76">
        <f>SUMIF('塗裝各項不良率-明細'!C:C,工作表6!A:A,'塗裝各項不良率-明細'!J:J)</f>
        <v>0</v>
      </c>
      <c r="C110" s="76">
        <f>SUMIF('塗裝各項不良率-明細'!C:C,工作表6!A:A,'塗裝各項不良率-明細'!K:K)</f>
        <v>0</v>
      </c>
      <c r="D110" s="77" t="e">
        <f t="shared" si="8"/>
        <v>#DIV/0!</v>
      </c>
      <c r="E110" s="79">
        <f>IFERROR(SUMIFS('塗裝各項不良率-明細'!K:K, '塗裝各項不良率-明細'!C:C, A110, '塗裝各項不良率-明細'!I:I, "5OE*") / SUMIFS('塗裝各項不良率-明細'!J:J, '塗裝各項不良率-明細'!C:C, A110, '塗裝各項不良率-明細'!I:I, "5OE*"), 0)</f>
        <v>0</v>
      </c>
      <c r="F110" s="79">
        <f>IFERROR(SUMIFS('塗裝各項不良率-明細'!K:K, '塗裝各項不良率-明細'!C:C, A110, '塗裝各項不良率-明細'!I:I, "5PP*") / SUMIFS('塗裝各項不良率-明細'!J:J, '塗裝各項不良率-明細'!C:C, A110, '塗裝各項不良率-明細'!I:I, "5PP*"), 0)</f>
        <v>0</v>
      </c>
      <c r="G110" s="79">
        <f>IFERROR(SUMIFS('塗裝各項不良率-明細'!K:K, '塗裝各項不良率-明細'!C:C, A110, '塗裝各項不良率-明細'!I:I, "5SN*") / SUMIFS('塗裝各項不良率-明細'!J:J, '塗裝各項不良率-明細'!C:C, A110, '塗裝各項不良率-明細'!I:I, "5SN*"), 0)</f>
        <v>0</v>
      </c>
    </row>
    <row r="111" spans="1:7">
      <c r="A111" s="88">
        <v>46188</v>
      </c>
      <c r="B111" s="71">
        <f>SUMIF('塗裝各項不良率-明細'!C:C,工作表6!A:A,'塗裝各項不良率-明細'!J:J)</f>
        <v>0</v>
      </c>
      <c r="C111" s="71">
        <f>SUMIF('塗裝各項不良率-明細'!C:C,工作表6!A:A,'塗裝各項不良率-明細'!K:K)</f>
        <v>0</v>
      </c>
      <c r="D111" s="70" t="e">
        <f t="shared" si="8"/>
        <v>#DIV/0!</v>
      </c>
      <c r="E111" s="86">
        <f>IFERROR(SUMIFS('塗裝各項不良率-明細'!K:K, '塗裝各項不良率-明細'!C:C, A111, '塗裝各項不良率-明細'!I:I, "5OE*") / SUMIFS('塗裝各項不良率-明細'!J:J, '塗裝各項不良率-明細'!C:C, A111, '塗裝各項不良率-明細'!I:I, "5OE*"), 0)</f>
        <v>0</v>
      </c>
      <c r="F111" s="86">
        <f>IFERROR(SUMIFS('塗裝各項不良率-明細'!K:K, '塗裝各項不良率-明細'!C:C, A111, '塗裝各項不良率-明細'!I:I, "5PP*") / SUMIFS('塗裝各項不良率-明細'!J:J, '塗裝各項不良率-明細'!C:C, A111, '塗裝各項不良率-明細'!I:I, "5PP*"), 0)</f>
        <v>0</v>
      </c>
      <c r="G111" s="86">
        <f>IFERROR(SUMIFS('塗裝各項不良率-明細'!K:K, '塗裝各項不良率-明細'!C:C, A111, '塗裝各項不良率-明細'!I:I, "5SN*") / SUMIFS('塗裝各項不良率-明細'!J:J, '塗裝各項不良率-明細'!C:C, A111, '塗裝各項不良率-明細'!I:I, "5SN*"), 0)</f>
        <v>0</v>
      </c>
    </row>
    <row r="112" spans="1:7">
      <c r="A112" s="88">
        <v>46189</v>
      </c>
      <c r="B112" s="71">
        <f>SUMIF('塗裝各項不良率-明細'!C:C,工作表6!A:A,'塗裝各項不良率-明細'!J:J)</f>
        <v>0</v>
      </c>
      <c r="C112" s="71">
        <f>SUMIF('塗裝各項不良率-明細'!C:C,工作表6!A:A,'塗裝各項不良率-明細'!K:K)</f>
        <v>0</v>
      </c>
      <c r="D112" s="70" t="e">
        <f t="shared" si="8"/>
        <v>#DIV/0!</v>
      </c>
      <c r="E112" s="86">
        <f>IFERROR(SUMIFS('塗裝各項不良率-明細'!K:K, '塗裝各項不良率-明細'!C:C, A112, '塗裝各項不良率-明細'!I:I, "5OE*") / SUMIFS('塗裝各項不良率-明細'!J:J, '塗裝各項不良率-明細'!C:C, A112, '塗裝各項不良率-明細'!I:I, "5OE*"), 0)</f>
        <v>0</v>
      </c>
      <c r="F112" s="86">
        <f>IFERROR(SUMIFS('塗裝各項不良率-明細'!K:K, '塗裝各項不良率-明細'!C:C, A112, '塗裝各項不良率-明細'!I:I, "5PP*") / SUMIFS('塗裝各項不良率-明細'!J:J, '塗裝各項不良率-明細'!C:C, A112, '塗裝各項不良率-明細'!I:I, "5PP*"), 0)</f>
        <v>0</v>
      </c>
      <c r="G112" s="86">
        <f>IFERROR(SUMIFS('塗裝各項不良率-明細'!K:K, '塗裝各項不良率-明細'!C:C, A112, '塗裝各項不良率-明細'!I:I, "5SN*") / SUMIFS('塗裝各項不良率-明細'!J:J, '塗裝各項不良率-明細'!C:C, A112, '塗裝各項不良率-明細'!I:I, "5SN*"), 0)</f>
        <v>0</v>
      </c>
    </row>
    <row r="113" spans="1:7">
      <c r="A113" s="88">
        <v>46190</v>
      </c>
      <c r="B113" s="71">
        <f>SUMIF('塗裝各項不良率-明細'!C:C,工作表6!A:A,'塗裝各項不良率-明細'!J:J)</f>
        <v>0</v>
      </c>
      <c r="C113" s="71">
        <f>SUMIF('塗裝各項不良率-明細'!C:C,工作表6!A:A,'塗裝各項不良率-明細'!K:K)</f>
        <v>0</v>
      </c>
      <c r="D113" s="70" t="e">
        <f t="shared" si="8"/>
        <v>#DIV/0!</v>
      </c>
      <c r="E113" s="86">
        <f>IFERROR(SUMIFS('塗裝各項不良率-明細'!K:K, '塗裝各項不良率-明細'!C:C, A113, '塗裝各項不良率-明細'!I:I, "5OE*") / SUMIFS('塗裝各項不良率-明細'!J:J, '塗裝各項不良率-明細'!C:C, A113, '塗裝各項不良率-明細'!I:I, "5OE*"), 0)</f>
        <v>0</v>
      </c>
      <c r="F113" s="86">
        <f>IFERROR(SUMIFS('塗裝各項不良率-明細'!K:K, '塗裝各項不良率-明細'!C:C, A113, '塗裝各項不良率-明細'!I:I, "5PP*") / SUMIFS('塗裝各項不良率-明細'!J:J, '塗裝各項不良率-明細'!C:C, A113, '塗裝各項不良率-明細'!I:I, "5PP*"), 0)</f>
        <v>0</v>
      </c>
      <c r="G113" s="86">
        <f>IFERROR(SUMIFS('塗裝各項不良率-明細'!K:K, '塗裝各項不良率-明細'!C:C, A113, '塗裝各項不良率-明細'!I:I, "5SN*") / SUMIFS('塗裝各項不良率-明細'!J:J, '塗裝各項不良率-明細'!C:C, A113, '塗裝各項不良率-明細'!I:I, "5SN*"), 0)</f>
        <v>0</v>
      </c>
    </row>
    <row r="114" spans="1:7">
      <c r="A114" s="88">
        <v>46191</v>
      </c>
      <c r="B114" s="71">
        <f>SUMIF('塗裝各項不良率-明細'!C:C,工作表6!A:A,'塗裝各項不良率-明細'!J:J)</f>
        <v>0</v>
      </c>
      <c r="C114" s="71">
        <f>SUMIF('塗裝各項不良率-明細'!C:C,工作表6!A:A,'塗裝各項不良率-明細'!K:K)</f>
        <v>0</v>
      </c>
      <c r="D114" s="70" t="e">
        <f t="shared" si="8"/>
        <v>#DIV/0!</v>
      </c>
      <c r="E114" s="86">
        <f>IFERROR(SUMIFS('塗裝各項不良率-明細'!K:K, '塗裝各項不良率-明細'!C:C, A114, '塗裝各項不良率-明細'!I:I, "5OE*") / SUMIFS('塗裝各項不良率-明細'!J:J, '塗裝各項不良率-明細'!C:C, A114, '塗裝各項不良率-明細'!I:I, "5OE*"), 0)</f>
        <v>0</v>
      </c>
      <c r="F114" s="86">
        <f>IFERROR(SUMIFS('塗裝各項不良率-明細'!K:K, '塗裝各項不良率-明細'!C:C, A114, '塗裝各項不良率-明細'!I:I, "5PP*") / SUMIFS('塗裝各項不良率-明細'!J:J, '塗裝各項不良率-明細'!C:C, A114, '塗裝各項不良率-明細'!I:I, "5PP*"), 0)</f>
        <v>0</v>
      </c>
      <c r="G114" s="86">
        <f>IFERROR(SUMIFS('塗裝各項不良率-明細'!K:K, '塗裝各項不良率-明細'!C:C, A114, '塗裝各項不良率-明細'!I:I, "5SN*") / SUMIFS('塗裝各項不良率-明細'!J:J, '塗裝各項不良率-明細'!C:C, A114, '塗裝各項不良率-明細'!I:I, "5SN*"), 0)</f>
        <v>0</v>
      </c>
    </row>
    <row r="115" spans="1:7">
      <c r="A115" s="75">
        <v>46192</v>
      </c>
      <c r="B115" s="76">
        <f>SUMIF('塗裝各項不良率-明細'!C:C,工作表6!A:A,'塗裝各項不良率-明細'!J:J)</f>
        <v>0</v>
      </c>
      <c r="C115" s="76">
        <f>SUMIF('塗裝各項不良率-明細'!C:C,工作表6!A:A,'塗裝各項不良率-明細'!K:K)</f>
        <v>0</v>
      </c>
      <c r="D115" s="77" t="e">
        <f t="shared" si="8"/>
        <v>#DIV/0!</v>
      </c>
      <c r="E115" s="79">
        <f>IFERROR(SUMIFS('塗裝各項不良率-明細'!K:K, '塗裝各項不良率-明細'!C:C, A115, '塗裝各項不良率-明細'!I:I, "5OE*") / SUMIFS('塗裝各項不良率-明細'!J:J, '塗裝各項不良率-明細'!C:C, A115, '塗裝各項不良率-明細'!I:I, "5OE*"), 0)</f>
        <v>0</v>
      </c>
      <c r="F115" s="79">
        <f>IFERROR(SUMIFS('塗裝各項不良率-明細'!K:K, '塗裝各項不良率-明細'!C:C, A115, '塗裝各項不良率-明細'!I:I, "5PP*") / SUMIFS('塗裝各項不良率-明細'!J:J, '塗裝各項不良率-明細'!C:C, A115, '塗裝各項不良率-明細'!I:I, "5PP*"), 0)</f>
        <v>0</v>
      </c>
      <c r="G115" s="79">
        <f>IFERROR(SUMIFS('塗裝各項不良率-明細'!K:K, '塗裝各項不良率-明細'!C:C, A115, '塗裝各項不良率-明細'!I:I, "5SN*") / SUMIFS('塗裝各項不良率-明細'!J:J, '塗裝各項不良率-明細'!C:C, A115, '塗裝各項不良率-明細'!I:I, "5SN*"), 0)</f>
        <v>0</v>
      </c>
    </row>
    <row r="116" spans="1:7">
      <c r="A116" s="75">
        <v>46193</v>
      </c>
      <c r="B116" s="76">
        <f>SUMIF('塗裝各項不良率-明細'!C:C,工作表6!A:A,'塗裝各項不良率-明細'!J:J)</f>
        <v>0</v>
      </c>
      <c r="C116" s="76">
        <f>SUMIF('塗裝各項不良率-明細'!C:C,工作表6!A:A,'塗裝各項不良率-明細'!K:K)</f>
        <v>0</v>
      </c>
      <c r="D116" s="77" t="e">
        <f t="shared" si="8"/>
        <v>#DIV/0!</v>
      </c>
      <c r="E116" s="79">
        <f>IFERROR(SUMIFS('塗裝各項不良率-明細'!K:K, '塗裝各項不良率-明細'!C:C, A116, '塗裝各項不良率-明細'!I:I, "5OE*") / SUMIFS('塗裝各項不良率-明細'!J:J, '塗裝各項不良率-明細'!C:C, A116, '塗裝各項不良率-明細'!I:I, "5OE*"), 0)</f>
        <v>0</v>
      </c>
      <c r="F116" s="79">
        <f>IFERROR(SUMIFS('塗裝各項不良率-明細'!K:K, '塗裝各項不良率-明細'!C:C, A116, '塗裝各項不良率-明細'!I:I, "5PP*") / SUMIFS('塗裝各項不良率-明細'!J:J, '塗裝各項不良率-明細'!C:C, A116, '塗裝各項不良率-明細'!I:I, "5PP*"), 0)</f>
        <v>0</v>
      </c>
      <c r="G116" s="79">
        <f>IFERROR(SUMIFS('塗裝各項不良率-明細'!K:K, '塗裝各項不良率-明細'!C:C, A116, '塗裝各項不良率-明細'!I:I, "5SN*") / SUMIFS('塗裝各項不良率-明細'!J:J, '塗裝各項不良率-明細'!C:C, A116, '塗裝各項不良率-明細'!I:I, "5SN*"), 0)</f>
        <v>0</v>
      </c>
    </row>
    <row r="117" spans="1:7">
      <c r="A117" s="75">
        <v>46194</v>
      </c>
      <c r="B117" s="76">
        <f>SUMIF('塗裝各項不良率-明細'!C:C,工作表6!A:A,'塗裝各項不良率-明細'!J:J)</f>
        <v>0</v>
      </c>
      <c r="C117" s="76">
        <f>SUMIF('塗裝各項不良率-明細'!C:C,工作表6!A:A,'塗裝各項不良率-明細'!K:K)</f>
        <v>0</v>
      </c>
      <c r="D117" s="77" t="e">
        <f t="shared" si="8"/>
        <v>#DIV/0!</v>
      </c>
      <c r="E117" s="79">
        <f>IFERROR(SUMIFS('塗裝各項不良率-明細'!K:K, '塗裝各項不良率-明細'!C:C, A117, '塗裝各項不良率-明細'!I:I, "5OE*") / SUMIFS('塗裝各項不良率-明細'!J:J, '塗裝各項不良率-明細'!C:C, A117, '塗裝各項不良率-明細'!I:I, "5OE*"), 0)</f>
        <v>0</v>
      </c>
      <c r="F117" s="79">
        <f>IFERROR(SUMIFS('塗裝各項不良率-明細'!K:K, '塗裝各項不良率-明細'!C:C, A117, '塗裝各項不良率-明細'!I:I, "5PP*") / SUMIFS('塗裝各項不良率-明細'!J:J, '塗裝各項不良率-明細'!C:C, A117, '塗裝各項不良率-明細'!I:I, "5PP*"), 0)</f>
        <v>0</v>
      </c>
      <c r="G117" s="79">
        <f>IFERROR(SUMIFS('塗裝各項不良率-明細'!K:K, '塗裝各項不良率-明細'!C:C, A117, '塗裝各項不良率-明細'!I:I, "5SN*") / SUMIFS('塗裝各項不良率-明細'!J:J, '塗裝各項不良率-明細'!C:C, A117, '塗裝各項不良率-明細'!I:I, "5SN*"), 0)</f>
        <v>0</v>
      </c>
    </row>
    <row r="118" spans="1:7">
      <c r="A118" s="88">
        <v>46195</v>
      </c>
      <c r="B118" s="71">
        <f>SUMIF('塗裝各項不良率-明細'!C:C,工作表6!A:A,'塗裝各項不良率-明細'!J:J)</f>
        <v>0</v>
      </c>
      <c r="C118" s="71">
        <f>SUMIF('塗裝各項不良率-明細'!C:C,工作表6!A:A,'塗裝各項不良率-明細'!K:K)</f>
        <v>0</v>
      </c>
      <c r="D118" s="70" t="e">
        <f t="shared" si="8"/>
        <v>#DIV/0!</v>
      </c>
      <c r="E118" s="86">
        <f>IFERROR(SUMIFS('塗裝各項不良率-明細'!K:K, '塗裝各項不良率-明細'!C:C, A118, '塗裝各項不良率-明細'!I:I, "5OE*") / SUMIFS('塗裝各項不良率-明細'!J:J, '塗裝各項不良率-明細'!C:C, A118, '塗裝各項不良率-明細'!I:I, "5OE*"), 0)</f>
        <v>0</v>
      </c>
      <c r="F118" s="86">
        <f>IFERROR(SUMIFS('塗裝各項不良率-明細'!K:K, '塗裝各項不良率-明細'!C:C, A118, '塗裝各項不良率-明細'!I:I, "5PP*") / SUMIFS('塗裝各項不良率-明細'!J:J, '塗裝各項不良率-明細'!C:C, A118, '塗裝各項不良率-明細'!I:I, "5PP*"), 0)</f>
        <v>0</v>
      </c>
      <c r="G118" s="86">
        <f>IFERROR(SUMIFS('塗裝各項不良率-明細'!K:K, '塗裝各項不良率-明細'!C:C, A118, '塗裝各項不良率-明細'!I:I, "5SN*") / SUMIFS('塗裝各項不良率-明細'!J:J, '塗裝各項不良率-明細'!C:C, A118, '塗裝各項不良率-明細'!I:I, "5SN*"), 0)</f>
        <v>0</v>
      </c>
    </row>
    <row r="119" spans="1:7">
      <c r="A119" s="88">
        <v>46196</v>
      </c>
      <c r="B119" s="71">
        <f>SUMIF('塗裝各項不良率-明細'!C:C,工作表6!A:A,'塗裝各項不良率-明細'!J:J)</f>
        <v>0</v>
      </c>
      <c r="C119" s="71">
        <f>SUMIF('塗裝各項不良率-明細'!C:C,工作表6!A:A,'塗裝各項不良率-明細'!K:K)</f>
        <v>0</v>
      </c>
      <c r="D119" s="70" t="e">
        <f t="shared" si="8"/>
        <v>#DIV/0!</v>
      </c>
      <c r="E119" s="86">
        <f>IFERROR(SUMIFS('塗裝各項不良率-明細'!K:K, '塗裝各項不良率-明細'!C:C, A119, '塗裝各項不良率-明細'!I:I, "5OE*") / SUMIFS('塗裝各項不良率-明細'!J:J, '塗裝各項不良率-明細'!C:C, A119, '塗裝各項不良率-明細'!I:I, "5OE*"), 0)</f>
        <v>0</v>
      </c>
      <c r="F119" s="86">
        <f>IFERROR(SUMIFS('塗裝各項不良率-明細'!K:K, '塗裝各項不良率-明細'!C:C, A119, '塗裝各項不良率-明細'!I:I, "5PP*") / SUMIFS('塗裝各項不良率-明細'!J:J, '塗裝各項不良率-明細'!C:C, A119, '塗裝各項不良率-明細'!I:I, "5PP*"), 0)</f>
        <v>0</v>
      </c>
      <c r="G119" s="86">
        <f>IFERROR(SUMIFS('塗裝各項不良率-明細'!K:K, '塗裝各項不良率-明細'!C:C, A119, '塗裝各項不良率-明細'!I:I, "5SN*") / SUMIFS('塗裝各項不良率-明細'!J:J, '塗裝各項不良率-明細'!C:C, A119, '塗裝各項不良率-明細'!I:I, "5SN*"), 0)</f>
        <v>0</v>
      </c>
    </row>
    <row r="120" spans="1:7">
      <c r="A120" s="88">
        <v>46197</v>
      </c>
      <c r="B120" s="71">
        <f>SUMIF('塗裝各項不良率-明細'!C:C,工作表6!A:A,'塗裝各項不良率-明細'!J:J)</f>
        <v>0</v>
      </c>
      <c r="C120" s="71">
        <f>SUMIF('塗裝各項不良率-明細'!C:C,工作表6!A:A,'塗裝各項不良率-明細'!K:K)</f>
        <v>0</v>
      </c>
      <c r="D120" s="70" t="e">
        <f t="shared" si="8"/>
        <v>#DIV/0!</v>
      </c>
      <c r="E120" s="86">
        <f>IFERROR(SUMIFS('塗裝各項不良率-明細'!K:K, '塗裝各項不良率-明細'!C:C, A120, '塗裝各項不良率-明細'!I:I, "5OE*") / SUMIFS('塗裝各項不良率-明細'!J:J, '塗裝各項不良率-明細'!C:C, A120, '塗裝各項不良率-明細'!I:I, "5OE*"), 0)</f>
        <v>0</v>
      </c>
      <c r="F120" s="86">
        <f>IFERROR(SUMIFS('塗裝各項不良率-明細'!K:K, '塗裝各項不良率-明細'!C:C, A120, '塗裝各項不良率-明細'!I:I, "5PP*") / SUMIFS('塗裝各項不良率-明細'!J:J, '塗裝各項不良率-明細'!C:C, A120, '塗裝各項不良率-明細'!I:I, "5PP*"), 0)</f>
        <v>0</v>
      </c>
      <c r="G120" s="86">
        <f>IFERROR(SUMIFS('塗裝各項不良率-明細'!K:K, '塗裝各項不良率-明細'!C:C, A120, '塗裝各項不良率-明細'!I:I, "5SN*") / SUMIFS('塗裝各項不良率-明細'!J:J, '塗裝各項不良率-明細'!C:C, A120, '塗裝各項不良率-明細'!I:I, "5SN*"), 0)</f>
        <v>0</v>
      </c>
    </row>
    <row r="121" spans="1:7">
      <c r="A121" s="88">
        <v>46198</v>
      </c>
      <c r="B121" s="71">
        <f>SUMIF('塗裝各項不良率-明細'!C:C,工作表6!A:A,'塗裝各項不良率-明細'!J:J)</f>
        <v>0</v>
      </c>
      <c r="C121" s="71">
        <f>SUMIF('塗裝各項不良率-明細'!C:C,工作表6!A:A,'塗裝各項不良率-明細'!K:K)</f>
        <v>0</v>
      </c>
      <c r="D121" s="70" t="e">
        <f t="shared" si="8"/>
        <v>#DIV/0!</v>
      </c>
      <c r="E121" s="86">
        <f>IFERROR(SUMIFS('塗裝各項不良率-明細'!K:K, '塗裝各項不良率-明細'!C:C, A121, '塗裝各項不良率-明細'!I:I, "5OE*") / SUMIFS('塗裝各項不良率-明細'!J:J, '塗裝各項不良率-明細'!C:C, A121, '塗裝各項不良率-明細'!I:I, "5OE*"), 0)</f>
        <v>0</v>
      </c>
      <c r="F121" s="86">
        <f>IFERROR(SUMIFS('塗裝各項不良率-明細'!K:K, '塗裝各項不良率-明細'!C:C, A121, '塗裝各項不良率-明細'!I:I, "5PP*") / SUMIFS('塗裝各項不良率-明細'!J:J, '塗裝各項不良率-明細'!C:C, A121, '塗裝各項不良率-明細'!I:I, "5PP*"), 0)</f>
        <v>0</v>
      </c>
      <c r="G121" s="86">
        <f>IFERROR(SUMIFS('塗裝各項不良率-明細'!K:K, '塗裝各項不良率-明細'!C:C, A121, '塗裝各項不良率-明細'!I:I, "5SN*") / SUMIFS('塗裝各項不良率-明細'!J:J, '塗裝各項不良率-明細'!C:C, A121, '塗裝各項不良率-明細'!I:I, "5SN*"), 0)</f>
        <v>0</v>
      </c>
    </row>
    <row r="122" spans="1:7">
      <c r="A122" s="88">
        <v>46199</v>
      </c>
      <c r="B122" s="71">
        <f>SUMIF('塗裝各項不良率-明細'!C:C,工作表6!A:A,'塗裝各項不良率-明細'!J:J)</f>
        <v>0</v>
      </c>
      <c r="C122" s="71">
        <f>SUMIF('塗裝各項不良率-明細'!C:C,工作表6!A:A,'塗裝各項不良率-明細'!K:K)</f>
        <v>0</v>
      </c>
      <c r="D122" s="70" t="e">
        <f t="shared" si="8"/>
        <v>#DIV/0!</v>
      </c>
      <c r="E122" s="86">
        <f>IFERROR(SUMIFS('塗裝各項不良率-明細'!K:K, '塗裝各項不良率-明細'!C:C, A122, '塗裝各項不良率-明細'!I:I, "5OE*") / SUMIFS('塗裝各項不良率-明細'!J:J, '塗裝各項不良率-明細'!C:C, A122, '塗裝各項不良率-明細'!I:I, "5OE*"), 0)</f>
        <v>0</v>
      </c>
      <c r="F122" s="86">
        <f>IFERROR(SUMIFS('塗裝各項不良率-明細'!K:K, '塗裝各項不良率-明細'!C:C, A122, '塗裝各項不良率-明細'!I:I, "5PP*") / SUMIFS('塗裝各項不良率-明細'!J:J, '塗裝各項不良率-明細'!C:C, A122, '塗裝各項不良率-明細'!I:I, "5PP*"), 0)</f>
        <v>0</v>
      </c>
      <c r="G122" s="86">
        <f>IFERROR(SUMIFS('塗裝各項不良率-明細'!K:K, '塗裝各項不良率-明細'!C:C, A122, '塗裝各項不良率-明細'!I:I, "5SN*") / SUMIFS('塗裝各項不良率-明細'!J:J, '塗裝各項不良率-明細'!C:C, A122, '塗裝各項不良率-明細'!I:I, "5SN*"), 0)</f>
        <v>0</v>
      </c>
    </row>
    <row r="123" spans="1:7">
      <c r="A123" s="75">
        <v>46200</v>
      </c>
      <c r="B123" s="76">
        <f>SUMIF('塗裝各項不良率-明細'!C:C,工作表6!A:A,'塗裝各項不良率-明細'!J:J)</f>
        <v>0</v>
      </c>
      <c r="C123" s="76">
        <f>SUMIF('塗裝各項不良率-明細'!C:C,工作表6!A:A,'塗裝各項不良率-明細'!K:K)</f>
        <v>0</v>
      </c>
      <c r="D123" s="77" t="e">
        <f t="shared" si="8"/>
        <v>#DIV/0!</v>
      </c>
      <c r="E123" s="79">
        <f>IFERROR(SUMIFS('塗裝各項不良率-明細'!K:K, '塗裝各項不良率-明細'!C:C, A123, '塗裝各項不良率-明細'!I:I, "5OE*") / SUMIFS('塗裝各項不良率-明細'!J:J, '塗裝各項不良率-明細'!C:C, A123, '塗裝各項不良率-明細'!I:I, "5OE*"), 0)</f>
        <v>0</v>
      </c>
      <c r="F123" s="79">
        <f>IFERROR(SUMIFS('塗裝各項不良率-明細'!K:K, '塗裝各項不良率-明細'!C:C, A123, '塗裝各項不良率-明細'!I:I, "5PP*") / SUMIFS('塗裝各項不良率-明細'!J:J, '塗裝各項不良率-明細'!C:C, A123, '塗裝各項不良率-明細'!I:I, "5PP*"), 0)</f>
        <v>0</v>
      </c>
      <c r="G123" s="79">
        <f>IFERROR(SUMIFS('塗裝各項不良率-明細'!K:K, '塗裝各項不良率-明細'!C:C, A123, '塗裝各項不良率-明細'!I:I, "5SN*") / SUMIFS('塗裝各項不良率-明細'!J:J, '塗裝各項不良率-明細'!C:C, A123, '塗裝各項不良率-明細'!I:I, "5SN*"), 0)</f>
        <v>0</v>
      </c>
    </row>
    <row r="124" spans="1:7">
      <c r="A124" s="75">
        <v>46201</v>
      </c>
      <c r="B124" s="76">
        <f>SUMIF('塗裝各項不良率-明細'!C:C,工作表6!A:A,'塗裝各項不良率-明細'!J:J)</f>
        <v>0</v>
      </c>
      <c r="C124" s="76">
        <f>SUMIF('塗裝各項不良率-明細'!C:C,工作表6!A:A,'塗裝各項不良率-明細'!K:K)</f>
        <v>0</v>
      </c>
      <c r="D124" s="77" t="e">
        <f t="shared" si="8"/>
        <v>#DIV/0!</v>
      </c>
      <c r="E124" s="79">
        <f>IFERROR(SUMIFS('塗裝各項不良率-明細'!K:K, '塗裝各項不良率-明細'!C:C, A124, '塗裝各項不良率-明細'!I:I, "5OE*") / SUMIFS('塗裝各項不良率-明細'!J:J, '塗裝各項不良率-明細'!C:C, A124, '塗裝各項不良率-明細'!I:I, "5OE*"), 0)</f>
        <v>0</v>
      </c>
      <c r="F124" s="79">
        <f>IFERROR(SUMIFS('塗裝各項不良率-明細'!K:K, '塗裝各項不良率-明細'!C:C, A124, '塗裝各項不良率-明細'!I:I, "5PP*") / SUMIFS('塗裝各項不良率-明細'!J:J, '塗裝各項不良率-明細'!C:C, A124, '塗裝各項不良率-明細'!I:I, "5PP*"), 0)</f>
        <v>0</v>
      </c>
      <c r="G124" s="79">
        <f>IFERROR(SUMIFS('塗裝各項不良率-明細'!K:K, '塗裝各項不良率-明細'!C:C, A124, '塗裝各項不良率-明細'!I:I, "5SN*") / SUMIFS('塗裝各項不良率-明細'!J:J, '塗裝各項不良率-明細'!C:C, A124, '塗裝各項不良率-明細'!I:I, "5SN*"), 0)</f>
        <v>0</v>
      </c>
    </row>
    <row r="125" spans="1:7">
      <c r="A125" s="88">
        <v>46202</v>
      </c>
      <c r="B125" s="71">
        <f>SUMIF('塗裝各項不良率-明細'!C:C,工作表6!A:A,'塗裝各項不良率-明細'!J:J)</f>
        <v>0</v>
      </c>
      <c r="C125" s="71">
        <f>SUMIF('塗裝各項不良率-明細'!C:C,工作表6!A:A,'塗裝各項不良率-明細'!K:K)</f>
        <v>0</v>
      </c>
      <c r="D125" s="70" t="e">
        <f t="shared" si="8"/>
        <v>#DIV/0!</v>
      </c>
      <c r="E125" s="86">
        <f>IFERROR(SUMIFS('塗裝各項不良率-明細'!K:K, '塗裝各項不良率-明細'!C:C, A125, '塗裝各項不良率-明細'!I:I, "5OE*") / SUMIFS('塗裝各項不良率-明細'!J:J, '塗裝各項不良率-明細'!C:C, A125, '塗裝各項不良率-明細'!I:I, "5OE*"), 0)</f>
        <v>0</v>
      </c>
      <c r="F125" s="86">
        <f>IFERROR(SUMIFS('塗裝各項不良率-明細'!K:K, '塗裝各項不良率-明細'!C:C, A125, '塗裝各項不良率-明細'!I:I, "5PP*") / SUMIFS('塗裝各項不良率-明細'!J:J, '塗裝各項不良率-明細'!C:C, A125, '塗裝各項不良率-明細'!I:I, "5PP*"), 0)</f>
        <v>0</v>
      </c>
      <c r="G125" s="86">
        <f>IFERROR(SUMIFS('塗裝各項不良率-明細'!K:K, '塗裝各項不良率-明細'!C:C, A125, '塗裝各項不良率-明細'!I:I, "5SN*") / SUMIFS('塗裝各項不良率-明細'!J:J, '塗裝各項不良率-明細'!C:C, A125, '塗裝各項不良率-明細'!I:I, "5SN*"), 0)</f>
        <v>0</v>
      </c>
    </row>
    <row r="126" spans="1:7">
      <c r="A126" s="88">
        <v>46203</v>
      </c>
      <c r="B126" s="71">
        <f>SUMIF('塗裝各項不良率-明細'!C:C,工作表6!A:A,'塗裝各項不良率-明細'!J:J)</f>
        <v>0</v>
      </c>
      <c r="C126" s="71">
        <f>SUMIF('塗裝各項不良率-明細'!C:C,工作表6!A:A,'塗裝各項不良率-明細'!K:K)</f>
        <v>0</v>
      </c>
      <c r="D126" s="70" t="e">
        <f t="shared" si="8"/>
        <v>#DIV/0!</v>
      </c>
      <c r="E126" s="86">
        <f>IFERROR(SUMIFS('塗裝各項不良率-明細'!K:K, '塗裝各項不良率-明細'!C:C, A126, '塗裝各項不良率-明細'!I:I, "5OE*") / SUMIFS('塗裝各項不良率-明細'!J:J, '塗裝各項不良率-明細'!C:C, A126, '塗裝各項不良率-明細'!I:I, "5OE*"), 0)</f>
        <v>0</v>
      </c>
      <c r="F126" s="86">
        <f>IFERROR(SUMIFS('塗裝各項不良率-明細'!K:K, '塗裝各項不良率-明細'!C:C, A126, '塗裝各項不良率-明細'!I:I, "5PP*") / SUMIFS('塗裝各項不良率-明細'!J:J, '塗裝各項不良率-明細'!C:C, A126, '塗裝各項不良率-明細'!I:I, "5PP*"), 0)</f>
        <v>0</v>
      </c>
      <c r="G126" s="86">
        <f>IFERROR(SUMIFS('塗裝各項不良率-明細'!K:K, '塗裝各項不良率-明細'!C:C, A126, '塗裝各項不良率-明細'!I:I, "5SN*") / SUMIFS('塗裝各項不良率-明細'!J:J, '塗裝各項不良率-明細'!C:C, A126, '塗裝各項不良率-明細'!I:I, "5SN*"), 0)</f>
        <v>0</v>
      </c>
    </row>
    <row r="128" spans="1:7">
      <c r="A128" s="87"/>
      <c r="B128" s="71">
        <f>SUMIF('塗裝各項不良率-明細'!C:C,工作表6!A:A,'塗裝各項不良率-明細'!J:J)</f>
        <v>0</v>
      </c>
      <c r="C128" s="71">
        <f>SUMIF('塗裝各項不良率-明細'!C:C,工作表6!A:A,'塗裝各項不良率-明細'!K:K)</f>
        <v>0</v>
      </c>
      <c r="D128" s="70" t="e">
        <f t="shared" si="8"/>
        <v>#DIV/0!</v>
      </c>
      <c r="E128" s="86">
        <f>IFERROR(SUMIFS('塗裝各項不良率-明細'!K:K, '塗裝各項不良率-明細'!C:C, A128, '塗裝各項不良率-明細'!I:I, "5OE*") / SUMIFS('塗裝各項不良率-明細'!J:J, '塗裝各項不良率-明細'!C:C, A128, '塗裝各項不良率-明細'!I:I, "5OE*"), 0)</f>
        <v>0</v>
      </c>
      <c r="F128" s="86">
        <f>IFERROR(SUMIFS('塗裝各項不良率-明細'!K:K, '塗裝各項不良率-明細'!C:C, A128, '塗裝各項不良率-明細'!I:I, "5PP*") / SUMIFS('塗裝各項不良率-明細'!J:J, '塗裝各項不良率-明細'!C:C, A128, '塗裝各項不良率-明細'!I:I, "5PP*"), 0)</f>
        <v>0</v>
      </c>
      <c r="G128" s="86">
        <f>IFERROR(SUMIFS('塗裝各項不良率-明細'!K:K, '塗裝各項不良率-明細'!C:C, A128, '塗裝各項不良率-明細'!I:I, "5SN*") / SUMIFS('塗裝各項不良率-明細'!J:J, '塗裝各項不良率-明細'!C:C, A128, '塗裝各項不良率-明細'!I:I, "5SN*"), 0)</f>
        <v>0</v>
      </c>
    </row>
    <row r="129" spans="1:7">
      <c r="A129" s="87"/>
      <c r="B129" s="71">
        <f>SUMIF('塗裝各項不良率-明細'!C:C,工作表6!A:A,'塗裝各項不良率-明細'!J:J)</f>
        <v>0</v>
      </c>
      <c r="C129" s="71">
        <f>SUMIF('塗裝各項不良率-明細'!C:C,工作表6!A:A,'塗裝各項不良率-明細'!K:K)</f>
        <v>0</v>
      </c>
      <c r="D129" s="70" t="e">
        <f t="shared" si="8"/>
        <v>#DIV/0!</v>
      </c>
      <c r="E129" s="86">
        <f>IFERROR(SUMIFS('塗裝各項不良率-明細'!K:K, '塗裝各項不良率-明細'!C:C, A129, '塗裝各項不良率-明細'!I:I, "5OE*") / SUMIFS('塗裝各項不良率-明細'!J:J, '塗裝各項不良率-明細'!C:C, A129, '塗裝各項不良率-明細'!I:I, "5OE*"), 0)</f>
        <v>0</v>
      </c>
      <c r="F129" s="86">
        <f>IFERROR(SUMIFS('塗裝各項不良率-明細'!K:K, '塗裝各項不良率-明細'!C:C, A129, '塗裝各項不良率-明細'!I:I, "5PP*") / SUMIFS('塗裝各項不良率-明細'!J:J, '塗裝各項不良率-明細'!C:C, A129, '塗裝各項不良率-明細'!I:I, "5PP*"), 0)</f>
        <v>0</v>
      </c>
      <c r="G129" s="86">
        <f>IFERROR(SUMIFS('塗裝各項不良率-明細'!K:K, '塗裝各項不良率-明細'!C:C, A129, '塗裝各項不良率-明細'!I:I, "5SN*") / SUMIFS('塗裝各項不良率-明細'!J:J, '塗裝各項不良率-明細'!C:C, A129, '塗裝各項不良率-明細'!I:I, "5SN*"), 0)</f>
        <v>0</v>
      </c>
    </row>
    <row r="130" spans="1:7">
      <c r="A130" s="87"/>
      <c r="B130" s="71">
        <f>SUMIF('塗裝各項不良率-明細'!C:C,工作表6!A:A,'塗裝各項不良率-明細'!J:J)</f>
        <v>0</v>
      </c>
      <c r="C130" s="71">
        <f>SUMIF('塗裝各項不良率-明細'!C:C,工作表6!A:A,'塗裝各項不良率-明細'!K:K)</f>
        <v>0</v>
      </c>
      <c r="D130" s="70" t="e">
        <f t="shared" si="8"/>
        <v>#DIV/0!</v>
      </c>
      <c r="E130" s="86">
        <f>IFERROR(SUMIFS('塗裝各項不良率-明細'!K:K, '塗裝各項不良率-明細'!C:C, A130, '塗裝各項不良率-明細'!I:I, "5OE*") / SUMIFS('塗裝各項不良率-明細'!J:J, '塗裝各項不良率-明細'!C:C, A130, '塗裝各項不良率-明細'!I:I, "5OE*"), 0)</f>
        <v>0</v>
      </c>
      <c r="F130" s="86">
        <f>IFERROR(SUMIFS('塗裝各項不良率-明細'!K:K, '塗裝各項不良率-明細'!C:C, A130, '塗裝各項不良率-明細'!I:I, "5PP*") / SUMIFS('塗裝各項不良率-明細'!J:J, '塗裝各項不良率-明細'!C:C, A130, '塗裝各項不良率-明細'!I:I, "5PP*"), 0)</f>
        <v>0</v>
      </c>
      <c r="G130" s="86">
        <f>IFERROR(SUMIFS('塗裝各項不良率-明細'!K:K, '塗裝各項不良率-明細'!C:C, A130, '塗裝各項不良率-明細'!I:I, "5SN*") / SUMIFS('塗裝各項不良率-明細'!J:J, '塗裝各項不良率-明細'!C:C, A130, '塗裝各項不良率-明細'!I:I, "5SN*"), 0)</f>
        <v>0</v>
      </c>
    </row>
    <row r="131" spans="1:7">
      <c r="A131" s="87"/>
      <c r="B131" s="71">
        <f>SUMIF('塗裝各項不良率-明細'!C:C,工作表6!A:A,'塗裝各項不良率-明細'!J:J)</f>
        <v>0</v>
      </c>
      <c r="C131" s="71">
        <f>SUMIF('塗裝各項不良率-明細'!C:C,工作表6!A:A,'塗裝各項不良率-明細'!K:K)</f>
        <v>0</v>
      </c>
      <c r="D131" s="70" t="e">
        <f t="shared" si="8"/>
        <v>#DIV/0!</v>
      </c>
      <c r="E131" s="86">
        <f>IFERROR(SUMIFS('塗裝各項不良率-明細'!K:K, '塗裝各項不良率-明細'!C:C, A131, '塗裝各項不良率-明細'!I:I, "5OE*") / SUMIFS('塗裝各項不良率-明細'!J:J, '塗裝各項不良率-明細'!C:C, A131, '塗裝各項不良率-明細'!I:I, "5OE*"), 0)</f>
        <v>0</v>
      </c>
      <c r="F131" s="86">
        <f>IFERROR(SUMIFS('塗裝各項不良率-明細'!K:K, '塗裝各項不良率-明細'!C:C, A131, '塗裝各項不良率-明細'!I:I, "5PP*") / SUMIFS('塗裝各項不良率-明細'!J:J, '塗裝各項不良率-明細'!C:C, A131, '塗裝各項不良率-明細'!I:I, "5PP*"), 0)</f>
        <v>0</v>
      </c>
      <c r="G131" s="86">
        <f>IFERROR(SUMIFS('塗裝各項不良率-明細'!K:K, '塗裝各項不良率-明細'!C:C, A131, '塗裝各項不良率-明細'!I:I, "5SN*") / SUMIFS('塗裝各項不良率-明細'!J:J, '塗裝各項不良率-明細'!C:C, A131, '塗裝各項不良率-明細'!I:I, "5SN*"), 0)</f>
        <v>0</v>
      </c>
    </row>
    <row r="132" spans="1:7">
      <c r="A132" s="87"/>
      <c r="B132" s="71">
        <f>SUMIF('塗裝各項不良率-明細'!C:C,工作表6!A:A,'塗裝各項不良率-明細'!J:J)</f>
        <v>0</v>
      </c>
      <c r="C132" s="71">
        <f>SUMIF('塗裝各項不良率-明細'!C:C,工作表6!A:A,'塗裝各項不良率-明細'!K:K)</f>
        <v>0</v>
      </c>
      <c r="D132" s="70" t="e">
        <f t="shared" si="8"/>
        <v>#DIV/0!</v>
      </c>
      <c r="E132" s="86">
        <f>IFERROR(SUMIFS('塗裝各項不良率-明細'!K:K, '塗裝各項不良率-明細'!C:C, A132, '塗裝各項不良率-明細'!I:I, "5OE*") / SUMIFS('塗裝各項不良率-明細'!J:J, '塗裝各項不良率-明細'!C:C, A132, '塗裝各項不良率-明細'!I:I, "5OE*"), 0)</f>
        <v>0</v>
      </c>
      <c r="F132" s="86">
        <f>IFERROR(SUMIFS('塗裝各項不良率-明細'!K:K, '塗裝各項不良率-明細'!C:C, A132, '塗裝各項不良率-明細'!I:I, "5PP*") / SUMIFS('塗裝各項不良率-明細'!J:J, '塗裝各項不良率-明細'!C:C, A132, '塗裝各項不良率-明細'!I:I, "5PP*"), 0)</f>
        <v>0</v>
      </c>
      <c r="G132" s="86">
        <f>IFERROR(SUMIFS('塗裝各項不良率-明細'!K:K, '塗裝各項不良率-明細'!C:C, A132, '塗裝各項不良率-明細'!I:I, "5SN*") / SUMIFS('塗裝各項不良率-明細'!J:J, '塗裝各項不良率-明細'!C:C, A132, '塗裝各項不良率-明細'!I:I, "5SN*"), 0)</f>
        <v>0</v>
      </c>
    </row>
    <row r="133" spans="1:7">
      <c r="A133" s="87"/>
      <c r="B133" s="71">
        <f>SUMIF('塗裝各項不良率-明細'!C:C,工作表6!A:A,'塗裝各項不良率-明細'!J:J)</f>
        <v>0</v>
      </c>
      <c r="C133" s="71">
        <f>SUMIF('塗裝各項不良率-明細'!C:C,工作表6!A:A,'塗裝各項不良率-明細'!K:K)</f>
        <v>0</v>
      </c>
      <c r="D133" s="70" t="e">
        <f t="shared" si="8"/>
        <v>#DIV/0!</v>
      </c>
      <c r="E133" s="86">
        <f>IFERROR(SUMIFS('塗裝各項不良率-明細'!K:K, '塗裝各項不良率-明細'!C:C, A133, '塗裝各項不良率-明細'!I:I, "5OE*") / SUMIFS('塗裝各項不良率-明細'!J:J, '塗裝各項不良率-明細'!C:C, A133, '塗裝各項不良率-明細'!I:I, "5OE*"), 0)</f>
        <v>0</v>
      </c>
      <c r="F133" s="86">
        <f>IFERROR(SUMIFS('塗裝各項不良率-明細'!K:K, '塗裝各項不良率-明細'!C:C, A133, '塗裝各項不良率-明細'!I:I, "5PP*") / SUMIFS('塗裝各項不良率-明細'!J:J, '塗裝各項不良率-明細'!C:C, A133, '塗裝各項不良率-明細'!I:I, "5PP*"), 0)</f>
        <v>0</v>
      </c>
      <c r="G133" s="86">
        <f>IFERROR(SUMIFS('塗裝各項不良率-明細'!K:K, '塗裝各項不良率-明細'!C:C, A133, '塗裝各項不良率-明細'!I:I, "5SN*") / SUMIFS('塗裝各項不良率-明細'!J:J, '塗裝各項不良率-明細'!C:C, A133, '塗裝各項不良率-明細'!I:I, "5SN*"), 0)</f>
        <v>0</v>
      </c>
    </row>
    <row r="134" spans="1:7">
      <c r="A134" s="87"/>
      <c r="B134" s="71">
        <f>SUMIF('塗裝各項不良率-明細'!C:C,工作表6!A:A,'塗裝各項不良率-明細'!J:J)</f>
        <v>0</v>
      </c>
      <c r="C134" s="71">
        <f>SUMIF('塗裝各項不良率-明細'!C:C,工作表6!A:A,'塗裝各項不良率-明細'!K:K)</f>
        <v>0</v>
      </c>
      <c r="D134" s="70" t="e">
        <f t="shared" si="8"/>
        <v>#DIV/0!</v>
      </c>
      <c r="E134" s="86">
        <f>IFERROR(SUMIFS('塗裝各項不良率-明細'!K:K, '塗裝各項不良率-明細'!C:C, A134, '塗裝各項不良率-明細'!I:I, "5OE*") / SUMIFS('塗裝各項不良率-明細'!J:J, '塗裝各項不良率-明細'!C:C, A134, '塗裝各項不良率-明細'!I:I, "5OE*"), 0)</f>
        <v>0</v>
      </c>
      <c r="F134" s="86">
        <f>IFERROR(SUMIFS('塗裝各項不良率-明細'!K:K, '塗裝各項不良率-明細'!C:C, A134, '塗裝各項不良率-明細'!I:I, "5PP*") / SUMIFS('塗裝各項不良率-明細'!J:J, '塗裝各項不良率-明細'!C:C, A134, '塗裝各項不良率-明細'!I:I, "5PP*"), 0)</f>
        <v>0</v>
      </c>
      <c r="G134" s="86">
        <f>IFERROR(SUMIFS('塗裝各項不良率-明細'!K:K, '塗裝各項不良率-明細'!C:C, A134, '塗裝各項不良率-明細'!I:I, "5SN*") / SUMIFS('塗裝各項不良率-明細'!J:J, '塗裝各項不良率-明細'!C:C, A134, '塗裝各項不良率-明細'!I:I, "5SN*"), 0)</f>
        <v>0</v>
      </c>
    </row>
    <row r="135" spans="1:7">
      <c r="A135" s="87"/>
      <c r="B135" s="71">
        <f>SUMIF('塗裝各項不良率-明細'!C:C,工作表6!A:A,'塗裝各項不良率-明細'!J:J)</f>
        <v>0</v>
      </c>
      <c r="C135" s="71">
        <f>SUMIF('塗裝各項不良率-明細'!C:C,工作表6!A:A,'塗裝各項不良率-明細'!K:K)</f>
        <v>0</v>
      </c>
      <c r="D135" s="70" t="e">
        <f t="shared" si="8"/>
        <v>#DIV/0!</v>
      </c>
      <c r="E135" s="86">
        <f>IFERROR(SUMIFS('塗裝各項不良率-明細'!K:K, '塗裝各項不良率-明細'!C:C, A135, '塗裝各項不良率-明細'!I:I, "5OE*") / SUMIFS('塗裝各項不良率-明細'!J:J, '塗裝各項不良率-明細'!C:C, A135, '塗裝各項不良率-明細'!I:I, "5OE*"), 0)</f>
        <v>0</v>
      </c>
      <c r="F135" s="86">
        <f>IFERROR(SUMIFS('塗裝各項不良率-明細'!K:K, '塗裝各項不良率-明細'!C:C, A135, '塗裝各項不良率-明細'!I:I, "5PP*") / SUMIFS('塗裝各項不良率-明細'!J:J, '塗裝各項不良率-明細'!C:C, A135, '塗裝各項不良率-明細'!I:I, "5PP*"), 0)</f>
        <v>0</v>
      </c>
      <c r="G135" s="86">
        <f>IFERROR(SUMIFS('塗裝各項不良率-明細'!K:K, '塗裝各項不良率-明細'!C:C, A135, '塗裝各項不良率-明細'!I:I, "5SN*") / SUMIFS('塗裝各項不良率-明細'!J:J, '塗裝各項不良率-明細'!C:C, A135, '塗裝各項不良率-明細'!I:I, "5SN*"), 0)</f>
        <v>0</v>
      </c>
    </row>
    <row r="136" spans="1:7">
      <c r="A136" s="87"/>
      <c r="B136" s="71">
        <f>SUMIF('塗裝各項不良率-明細'!C:C,工作表6!A:A,'塗裝各項不良率-明細'!J:J)</f>
        <v>0</v>
      </c>
      <c r="C136" s="71">
        <f>SUMIF('塗裝各項不良率-明細'!C:C,工作表6!A:A,'塗裝各項不良率-明細'!K:K)</f>
        <v>0</v>
      </c>
      <c r="D136" s="70" t="e">
        <f t="shared" si="8"/>
        <v>#DIV/0!</v>
      </c>
      <c r="E136" s="86">
        <f>IFERROR(SUMIFS('塗裝各項不良率-明細'!K:K, '塗裝各項不良率-明細'!C:C, A136, '塗裝各項不良率-明細'!I:I, "5OE*") / SUMIFS('塗裝各項不良率-明細'!J:J, '塗裝各項不良率-明細'!C:C, A136, '塗裝各項不良率-明細'!I:I, "5OE*"), 0)</f>
        <v>0</v>
      </c>
      <c r="F136" s="86">
        <f>IFERROR(SUMIFS('塗裝各項不良率-明細'!K:K, '塗裝各項不良率-明細'!C:C, A136, '塗裝各項不良率-明細'!I:I, "5PP*") / SUMIFS('塗裝各項不良率-明細'!J:J, '塗裝各項不良率-明細'!C:C, A136, '塗裝各項不良率-明細'!I:I, "5PP*"), 0)</f>
        <v>0</v>
      </c>
      <c r="G136" s="86">
        <f>IFERROR(SUMIFS('塗裝各項不良率-明細'!K:K, '塗裝各項不良率-明細'!C:C, A136, '塗裝各項不良率-明細'!I:I, "5SN*") / SUMIFS('塗裝各項不良率-明細'!J:J, '塗裝各項不良率-明細'!C:C, A136, '塗裝各項不良率-明細'!I:I, "5SN*"), 0)</f>
        <v>0</v>
      </c>
    </row>
    <row r="137" spans="1:7">
      <c r="A137" s="87"/>
      <c r="B137" s="71">
        <f>SUMIF('塗裝各項不良率-明細'!C:C,工作表6!A:A,'塗裝各項不良率-明細'!J:J)</f>
        <v>0</v>
      </c>
      <c r="C137" s="71">
        <f>SUMIF('塗裝各項不良率-明細'!C:C,工作表6!A:A,'塗裝各項不良率-明細'!K:K)</f>
        <v>0</v>
      </c>
      <c r="D137" s="70" t="e">
        <f t="shared" si="8"/>
        <v>#DIV/0!</v>
      </c>
      <c r="E137" s="86">
        <f>IFERROR(SUMIFS('塗裝各項不良率-明細'!K:K, '塗裝各項不良率-明細'!C:C, A137, '塗裝各項不良率-明細'!I:I, "5OE*") / SUMIFS('塗裝各項不良率-明細'!J:J, '塗裝各項不良率-明細'!C:C, A137, '塗裝各項不良率-明細'!I:I, "5OE*"), 0)</f>
        <v>0</v>
      </c>
      <c r="F137" s="86">
        <f>IFERROR(SUMIFS('塗裝各項不良率-明細'!K:K, '塗裝各項不良率-明細'!C:C, A137, '塗裝各項不良率-明細'!I:I, "5PP*") / SUMIFS('塗裝各項不良率-明細'!J:J, '塗裝各項不良率-明細'!C:C, A137, '塗裝各項不良率-明細'!I:I, "5PP*"), 0)</f>
        <v>0</v>
      </c>
      <c r="G137" s="86">
        <f>IFERROR(SUMIFS('塗裝各項不良率-明細'!K:K, '塗裝各項不良率-明細'!C:C, A137, '塗裝各項不良率-明細'!I:I, "5SN*") / SUMIFS('塗裝各項不良率-明細'!J:J, '塗裝各項不良率-明細'!C:C, A137, '塗裝各項不良率-明細'!I:I, "5SN*"), 0)</f>
        <v>0</v>
      </c>
    </row>
    <row r="138" spans="1:7">
      <c r="A138" s="87"/>
      <c r="B138" s="71">
        <f>SUMIF('塗裝各項不良率-明細'!C:C,工作表6!A:A,'塗裝各項不良率-明細'!J:J)</f>
        <v>0</v>
      </c>
      <c r="C138" s="71">
        <f>SUMIF('塗裝各項不良率-明細'!C:C,工作表6!A:A,'塗裝各項不良率-明細'!K:K)</f>
        <v>0</v>
      </c>
      <c r="D138" s="70" t="e">
        <f t="shared" si="8"/>
        <v>#DIV/0!</v>
      </c>
      <c r="E138" s="86">
        <f>IFERROR(SUMIFS('塗裝各項不良率-明細'!K:K, '塗裝各項不良率-明細'!C:C, A138, '塗裝各項不良率-明細'!I:I, "5OE*") / SUMIFS('塗裝各項不良率-明細'!J:J, '塗裝各項不良率-明細'!C:C, A138, '塗裝各項不良率-明細'!I:I, "5OE*"), 0)</f>
        <v>0</v>
      </c>
      <c r="F138" s="86">
        <f>IFERROR(SUMIFS('塗裝各項不良率-明細'!K:K, '塗裝各項不良率-明細'!C:C, A138, '塗裝各項不良率-明細'!I:I, "5PP*") / SUMIFS('塗裝各項不良率-明細'!J:J, '塗裝各項不良率-明細'!C:C, A138, '塗裝各項不良率-明細'!I:I, "5PP*"), 0)</f>
        <v>0</v>
      </c>
      <c r="G138" s="86">
        <f>IFERROR(SUMIFS('塗裝各項不良率-明細'!K:K, '塗裝各項不良率-明細'!C:C, A138, '塗裝各項不良率-明細'!I:I, "5SN*") / SUMIFS('塗裝各項不良率-明細'!J:J, '塗裝各項不良率-明細'!C:C, A138, '塗裝各項不良率-明細'!I:I, "5SN*"), 0)</f>
        <v>0</v>
      </c>
    </row>
    <row r="139" spans="1:7">
      <c r="A139" s="87"/>
      <c r="B139" s="71">
        <f>SUMIF('塗裝各項不良率-明細'!C:C,工作表6!A:A,'塗裝各項不良率-明細'!J:J)</f>
        <v>0</v>
      </c>
      <c r="C139" s="71">
        <f>SUMIF('塗裝各項不良率-明細'!C:C,工作表6!A:A,'塗裝各項不良率-明細'!K:K)</f>
        <v>0</v>
      </c>
      <c r="D139" s="70" t="e">
        <f t="shared" si="8"/>
        <v>#DIV/0!</v>
      </c>
      <c r="E139" s="86">
        <f>IFERROR(SUMIFS('塗裝各項不良率-明細'!K:K, '塗裝各項不良率-明細'!C:C, A139, '塗裝各項不良率-明細'!I:I, "5OE*") / SUMIFS('塗裝各項不良率-明細'!J:J, '塗裝各項不良率-明細'!C:C, A139, '塗裝各項不良率-明細'!I:I, "5OE*"), 0)</f>
        <v>0</v>
      </c>
      <c r="F139" s="86">
        <f>IFERROR(SUMIFS('塗裝各項不良率-明細'!K:K, '塗裝各項不良率-明細'!C:C, A139, '塗裝各項不良率-明細'!I:I, "5PP*") / SUMIFS('塗裝各項不良率-明細'!J:J, '塗裝各項不良率-明細'!C:C, A139, '塗裝各項不良率-明細'!I:I, "5PP*"), 0)</f>
        <v>0</v>
      </c>
      <c r="G139" s="86">
        <f>IFERROR(SUMIFS('塗裝各項不良率-明細'!K:K, '塗裝各項不良率-明細'!C:C, A139, '塗裝各項不良率-明細'!I:I, "5SN*") / SUMIFS('塗裝各項不良率-明細'!J:J, '塗裝各項不良率-明細'!C:C, A139, '塗裝各項不良率-明細'!I:I, "5SN*"), 0)</f>
        <v>0</v>
      </c>
    </row>
    <row r="140" spans="1:7">
      <c r="A140" s="87"/>
      <c r="B140" s="71">
        <f>SUMIF('塗裝各項不良率-明細'!C:C,工作表6!A:A,'塗裝各項不良率-明細'!J:J)</f>
        <v>0</v>
      </c>
      <c r="C140" s="71">
        <f>SUMIF('塗裝各項不良率-明細'!C:C,工作表6!A:A,'塗裝各項不良率-明細'!K:K)</f>
        <v>0</v>
      </c>
      <c r="D140" s="70" t="e">
        <f t="shared" si="8"/>
        <v>#DIV/0!</v>
      </c>
      <c r="E140" s="86">
        <f>IFERROR(SUMIFS('塗裝各項不良率-明細'!K:K, '塗裝各項不良率-明細'!C:C, A140, '塗裝各項不良率-明細'!I:I, "5OE*") / SUMIFS('塗裝各項不良率-明細'!J:J, '塗裝各項不良率-明細'!C:C, A140, '塗裝各項不良率-明細'!I:I, "5OE*"), 0)</f>
        <v>0</v>
      </c>
      <c r="F140" s="86">
        <f>IFERROR(SUMIFS('塗裝各項不良率-明細'!K:K, '塗裝各項不良率-明細'!C:C, A140, '塗裝各項不良率-明細'!I:I, "5PP*") / SUMIFS('塗裝各項不良率-明細'!J:J, '塗裝各項不良率-明細'!C:C, A140, '塗裝各項不良率-明細'!I:I, "5PP*"), 0)</f>
        <v>0</v>
      </c>
      <c r="G140" s="86">
        <f>IFERROR(SUMIFS('塗裝各項不良率-明細'!K:K, '塗裝各項不良率-明細'!C:C, A140, '塗裝各項不良率-明細'!I:I, "5SN*") / SUMIFS('塗裝各項不良率-明細'!J:J, '塗裝各項不良率-明細'!C:C, A140, '塗裝各項不良率-明細'!I:I, "5SN*"), 0)</f>
        <v>0</v>
      </c>
    </row>
    <row r="141" spans="1:7">
      <c r="A141" s="87"/>
      <c r="B141" s="71">
        <f>SUMIF('塗裝各項不良率-明細'!C:C,工作表6!A:A,'塗裝各項不良率-明細'!J:J)</f>
        <v>0</v>
      </c>
      <c r="C141" s="71">
        <f>SUMIF('塗裝各項不良率-明細'!C:C,工作表6!A:A,'塗裝各項不良率-明細'!K:K)</f>
        <v>0</v>
      </c>
      <c r="D141" s="70" t="e">
        <f t="shared" si="8"/>
        <v>#DIV/0!</v>
      </c>
      <c r="E141" s="86">
        <f>IFERROR(SUMIFS('塗裝各項不良率-明細'!K:K, '塗裝各項不良率-明細'!C:C, A141, '塗裝各項不良率-明細'!I:I, "5OE*") / SUMIFS('塗裝各項不良率-明細'!J:J, '塗裝各項不良率-明細'!C:C, A141, '塗裝各項不良率-明細'!I:I, "5OE*"), 0)</f>
        <v>0</v>
      </c>
      <c r="F141" s="86">
        <f>IFERROR(SUMIFS('塗裝各項不良率-明細'!K:K, '塗裝各項不良率-明細'!C:C, A141, '塗裝各項不良率-明細'!I:I, "5PP*") / SUMIFS('塗裝各項不良率-明細'!J:J, '塗裝各項不良率-明細'!C:C, A141, '塗裝各項不良率-明細'!I:I, "5PP*"), 0)</f>
        <v>0</v>
      </c>
      <c r="G141" s="86">
        <f>IFERROR(SUMIFS('塗裝各項不良率-明細'!K:K, '塗裝各項不良率-明細'!C:C, A141, '塗裝各項不良率-明細'!I:I, "5SN*") / SUMIFS('塗裝各項不良率-明細'!J:J, '塗裝各項不良率-明細'!C:C, A141, '塗裝各項不良率-明細'!I:I, "5SN*"), 0)</f>
        <v>0</v>
      </c>
    </row>
    <row r="142" spans="1:7">
      <c r="A142" s="87"/>
      <c r="B142" s="71">
        <f>SUMIF('塗裝各項不良率-明細'!C:C,工作表6!A:A,'塗裝各項不良率-明細'!J:J)</f>
        <v>0</v>
      </c>
      <c r="C142" s="71">
        <f>SUMIF('塗裝各項不良率-明細'!C:C,工作表6!A:A,'塗裝各項不良率-明細'!K:K)</f>
        <v>0</v>
      </c>
      <c r="D142" s="70" t="e">
        <f t="shared" si="8"/>
        <v>#DIV/0!</v>
      </c>
      <c r="E142" s="86">
        <f>IFERROR(SUMIFS('塗裝各項不良率-明細'!K:K, '塗裝各項不良率-明細'!C:C, A142, '塗裝各項不良率-明細'!I:I, "5OE*") / SUMIFS('塗裝各項不良率-明細'!J:J, '塗裝各項不良率-明細'!C:C, A142, '塗裝各項不良率-明細'!I:I, "5OE*"), 0)</f>
        <v>0</v>
      </c>
      <c r="F142" s="86">
        <f>IFERROR(SUMIFS('塗裝各項不良率-明細'!K:K, '塗裝各項不良率-明細'!C:C, A142, '塗裝各項不良率-明細'!I:I, "5PP*") / SUMIFS('塗裝各項不良率-明細'!J:J, '塗裝各項不良率-明細'!C:C, A142, '塗裝各項不良率-明細'!I:I, "5PP*"), 0)</f>
        <v>0</v>
      </c>
      <c r="G142" s="86">
        <f>IFERROR(SUMIFS('塗裝各項不良率-明細'!K:K, '塗裝各項不良率-明細'!C:C, A142, '塗裝各項不良率-明細'!I:I, "5SN*") / SUMIFS('塗裝各項不良率-明細'!J:J, '塗裝各項不良率-明細'!C:C, A142, '塗裝各項不良率-明細'!I:I, "5SN*"), 0)</f>
        <v>0</v>
      </c>
    </row>
    <row r="143" spans="1:7">
      <c r="A143" s="87"/>
      <c r="B143" s="71">
        <f>SUMIF('塗裝各項不良率-明細'!C:C,工作表6!A:A,'塗裝各項不良率-明細'!J:J)</f>
        <v>0</v>
      </c>
      <c r="C143" s="71">
        <f>SUMIF('塗裝各項不良率-明細'!C:C,工作表6!A:A,'塗裝各項不良率-明細'!K:K)</f>
        <v>0</v>
      </c>
      <c r="D143" s="70" t="e">
        <f t="shared" si="8"/>
        <v>#DIV/0!</v>
      </c>
      <c r="E143" s="86">
        <f>IFERROR(SUMIFS('塗裝各項不良率-明細'!K:K, '塗裝各項不良率-明細'!C:C, A143, '塗裝各項不良率-明細'!I:I, "5OE*") / SUMIFS('塗裝各項不良率-明細'!J:J, '塗裝各項不良率-明細'!C:C, A143, '塗裝各項不良率-明細'!I:I, "5OE*"), 0)</f>
        <v>0</v>
      </c>
      <c r="F143" s="86">
        <f>IFERROR(SUMIFS('塗裝各項不良率-明細'!K:K, '塗裝各項不良率-明細'!C:C, A143, '塗裝各項不良率-明細'!I:I, "5PP*") / SUMIFS('塗裝各項不良率-明細'!J:J, '塗裝各項不良率-明細'!C:C, A143, '塗裝各項不良率-明細'!I:I, "5PP*"), 0)</f>
        <v>0</v>
      </c>
      <c r="G143" s="86">
        <f>IFERROR(SUMIFS('塗裝各項不良率-明細'!K:K, '塗裝各項不良率-明細'!C:C, A143, '塗裝各項不良率-明細'!I:I, "5SN*") / SUMIFS('塗裝各項不良率-明細'!J:J, '塗裝各項不良率-明細'!C:C, A143, '塗裝各項不良率-明細'!I:I, "5SN*"), 0)</f>
        <v>0</v>
      </c>
    </row>
    <row r="144" spans="1:7">
      <c r="A144" s="87"/>
      <c r="B144" s="71">
        <f>SUMIF('塗裝各項不良率-明細'!C:C,工作表6!A:A,'塗裝各項不良率-明細'!J:J)</f>
        <v>0</v>
      </c>
      <c r="C144" s="71">
        <f>SUMIF('塗裝各項不良率-明細'!C:C,工作表6!A:A,'塗裝各項不良率-明細'!K:K)</f>
        <v>0</v>
      </c>
      <c r="D144" s="70" t="e">
        <f t="shared" si="8"/>
        <v>#DIV/0!</v>
      </c>
      <c r="E144" s="86">
        <f>IFERROR(SUMIFS('塗裝各項不良率-明細'!K:K, '塗裝各項不良率-明細'!C:C, A144, '塗裝各項不良率-明細'!I:I, "5OE*") / SUMIFS('塗裝各項不良率-明細'!J:J, '塗裝各項不良率-明細'!C:C, A144, '塗裝各項不良率-明細'!I:I, "5OE*"), 0)</f>
        <v>0</v>
      </c>
      <c r="F144" s="86">
        <f>IFERROR(SUMIFS('塗裝各項不良率-明細'!K:K, '塗裝各項不良率-明細'!C:C, A144, '塗裝各項不良率-明細'!I:I, "5PP*") / SUMIFS('塗裝各項不良率-明細'!J:J, '塗裝各項不良率-明細'!C:C, A144, '塗裝各項不良率-明細'!I:I, "5PP*"), 0)</f>
        <v>0</v>
      </c>
      <c r="G144" s="86">
        <f>IFERROR(SUMIFS('塗裝各項不良率-明細'!K:K, '塗裝各項不良率-明細'!C:C, A144, '塗裝各項不良率-明細'!I:I, "5SN*") / SUMIFS('塗裝各項不良率-明細'!J:J, '塗裝各項不良率-明細'!C:C, A144, '塗裝各項不良率-明細'!I:I, "5SN*"), 0)</f>
        <v>0</v>
      </c>
    </row>
    <row r="145" spans="1:7">
      <c r="A145" s="87"/>
      <c r="B145" s="71">
        <f>SUMIF('塗裝各項不良率-明細'!C:C,工作表6!A:A,'塗裝各項不良率-明細'!J:J)</f>
        <v>0</v>
      </c>
      <c r="C145" s="71">
        <f>SUMIF('塗裝各項不良率-明細'!C:C,工作表6!A:A,'塗裝各項不良率-明細'!K:K)</f>
        <v>0</v>
      </c>
      <c r="D145" s="70" t="e">
        <f t="shared" si="8"/>
        <v>#DIV/0!</v>
      </c>
      <c r="E145" s="86">
        <f>IFERROR(SUMIFS('塗裝各項不良率-明細'!K:K, '塗裝各項不良率-明細'!C:C, A145, '塗裝各項不良率-明細'!I:I, "5OE*") / SUMIFS('塗裝各項不良率-明細'!J:J, '塗裝各項不良率-明細'!C:C, A145, '塗裝各項不良率-明細'!I:I, "5OE*"), 0)</f>
        <v>0</v>
      </c>
      <c r="F145" s="86">
        <f>IFERROR(SUMIFS('塗裝各項不良率-明細'!K:K, '塗裝各項不良率-明細'!C:C, A145, '塗裝各項不良率-明細'!I:I, "5PP*") / SUMIFS('塗裝各項不良率-明細'!J:J, '塗裝各項不良率-明細'!C:C, A145, '塗裝各項不良率-明細'!I:I, "5PP*"), 0)</f>
        <v>0</v>
      </c>
      <c r="G145" s="86">
        <f>IFERROR(SUMIFS('塗裝各項不良率-明細'!K:K, '塗裝各項不良率-明細'!C:C, A145, '塗裝各項不良率-明細'!I:I, "5SN*") / SUMIFS('塗裝各項不良率-明細'!J:J, '塗裝各項不良率-明細'!C:C, A145, '塗裝各項不良率-明細'!I:I, "5SN*"), 0)</f>
        <v>0</v>
      </c>
    </row>
    <row r="146" spans="1:7">
      <c r="A146" s="87"/>
      <c r="B146" s="71">
        <f>SUMIF('塗裝各項不良率-明細'!C:C,工作表6!A:A,'塗裝各項不良率-明細'!J:J)</f>
        <v>0</v>
      </c>
      <c r="C146" s="71">
        <f>SUMIF('塗裝各項不良率-明細'!C:C,工作表6!A:A,'塗裝各項不良率-明細'!K:K)</f>
        <v>0</v>
      </c>
      <c r="D146" s="70" t="e">
        <f t="shared" si="8"/>
        <v>#DIV/0!</v>
      </c>
      <c r="E146" s="86">
        <f>IFERROR(SUMIFS('塗裝各項不良率-明細'!K:K, '塗裝各項不良率-明細'!C:C, A146, '塗裝各項不良率-明細'!I:I, "5OE*") / SUMIFS('塗裝各項不良率-明細'!J:J, '塗裝各項不良率-明細'!C:C, A146, '塗裝各項不良率-明細'!I:I, "5OE*"), 0)</f>
        <v>0</v>
      </c>
      <c r="F146" s="86">
        <f>IFERROR(SUMIFS('塗裝各項不良率-明細'!K:K, '塗裝各項不良率-明細'!C:C, A146, '塗裝各項不良率-明細'!I:I, "5PP*") / SUMIFS('塗裝各項不良率-明細'!J:J, '塗裝各項不良率-明細'!C:C, A146, '塗裝各項不良率-明細'!I:I, "5PP*"), 0)</f>
        <v>0</v>
      </c>
      <c r="G146" s="86">
        <f>IFERROR(SUMIFS('塗裝各項不良率-明細'!K:K, '塗裝各項不良率-明細'!C:C, A146, '塗裝各項不良率-明細'!I:I, "5SN*") / SUMIFS('塗裝各項不良率-明細'!J:J, '塗裝各項不良率-明細'!C:C, A146, '塗裝各項不良率-明細'!I:I, "5SN*"), 0)</f>
        <v>0</v>
      </c>
    </row>
    <row r="147" spans="1:7">
      <c r="A147" s="87"/>
      <c r="B147" s="71">
        <f>SUMIF('塗裝各項不良率-明細'!C:C,工作表6!A:A,'塗裝各項不良率-明細'!J:J)</f>
        <v>0</v>
      </c>
      <c r="C147" s="71">
        <f>SUMIF('塗裝各項不良率-明細'!C:C,工作表6!A:A,'塗裝各項不良率-明細'!K:K)</f>
        <v>0</v>
      </c>
      <c r="D147" s="70" t="e">
        <f t="shared" si="8"/>
        <v>#DIV/0!</v>
      </c>
      <c r="E147" s="86">
        <f>IFERROR(SUMIFS('塗裝各項不良率-明細'!K:K, '塗裝各項不良率-明細'!C:C, A147, '塗裝各項不良率-明細'!I:I, "5OE*") / SUMIFS('塗裝各項不良率-明細'!J:J, '塗裝各項不良率-明細'!C:C, A147, '塗裝各項不良率-明細'!I:I, "5OE*"), 0)</f>
        <v>0</v>
      </c>
      <c r="F147" s="86">
        <f>IFERROR(SUMIFS('塗裝各項不良率-明細'!K:K, '塗裝各項不良率-明細'!C:C, A147, '塗裝各項不良率-明細'!I:I, "5PP*") / SUMIFS('塗裝各項不良率-明細'!J:J, '塗裝各項不良率-明細'!C:C, A147, '塗裝各項不良率-明細'!I:I, "5PP*"), 0)</f>
        <v>0</v>
      </c>
      <c r="G147" s="86">
        <f>IFERROR(SUMIFS('塗裝各項不良率-明細'!K:K, '塗裝各項不良率-明細'!C:C, A147, '塗裝各項不良率-明細'!I:I, "5SN*") / SUMIFS('塗裝各項不良率-明細'!J:J, '塗裝各項不良率-明細'!C:C, A147, '塗裝各項不良率-明細'!I:I, "5SN*"), 0)</f>
        <v>0</v>
      </c>
    </row>
    <row r="148" spans="1:7">
      <c r="A148" s="87"/>
      <c r="B148" s="71">
        <f>SUMIF('塗裝各項不良率-明細'!C:C,工作表6!A:A,'塗裝各項不良率-明細'!J:J)</f>
        <v>0</v>
      </c>
      <c r="C148" s="71">
        <f>SUMIF('塗裝各項不良率-明細'!C:C,工作表6!A:A,'塗裝各項不良率-明細'!K:K)</f>
        <v>0</v>
      </c>
      <c r="D148" s="70" t="e">
        <f t="shared" si="8"/>
        <v>#DIV/0!</v>
      </c>
      <c r="E148" s="86">
        <f>IFERROR(SUMIFS('塗裝各項不良率-明細'!K:K, '塗裝各項不良率-明細'!C:C, A148, '塗裝各項不良率-明細'!I:I, "5OE*") / SUMIFS('塗裝各項不良率-明細'!J:J, '塗裝各項不良率-明細'!C:C, A148, '塗裝各項不良率-明細'!I:I, "5OE*"), 0)</f>
        <v>0</v>
      </c>
      <c r="F148" s="86">
        <f>IFERROR(SUMIFS('塗裝各項不良率-明細'!K:K, '塗裝各項不良率-明細'!C:C, A148, '塗裝各項不良率-明細'!I:I, "5PP*") / SUMIFS('塗裝各項不良率-明細'!J:J, '塗裝各項不良率-明細'!C:C, A148, '塗裝各項不良率-明細'!I:I, "5PP*"), 0)</f>
        <v>0</v>
      </c>
      <c r="G148" s="86">
        <f>IFERROR(SUMIFS('塗裝各項不良率-明細'!K:K, '塗裝各項不良率-明細'!C:C, A148, '塗裝各項不良率-明細'!I:I, "5SN*") / SUMIFS('塗裝各項不良率-明細'!J:J, '塗裝各項不良率-明細'!C:C, A148, '塗裝各項不良率-明細'!I:I, "5SN*"), 0)</f>
        <v>0</v>
      </c>
    </row>
    <row r="149" spans="1:7">
      <c r="A149" s="87"/>
      <c r="B149" s="71">
        <f>SUMIF('塗裝各項不良率-明細'!C:C,工作表6!A:A,'塗裝各項不良率-明細'!J:J)</f>
        <v>0</v>
      </c>
      <c r="C149" s="71">
        <f>SUMIF('塗裝各項不良率-明細'!C:C,工作表6!A:A,'塗裝各項不良率-明細'!K:K)</f>
        <v>0</v>
      </c>
      <c r="D149" s="70" t="e">
        <f t="shared" si="8"/>
        <v>#DIV/0!</v>
      </c>
      <c r="E149" s="86">
        <f>IFERROR(SUMIFS('塗裝各項不良率-明細'!K:K, '塗裝各項不良率-明細'!C:C, A149, '塗裝各項不良率-明細'!I:I, "5OE*") / SUMIFS('塗裝各項不良率-明細'!J:J, '塗裝各項不良率-明細'!C:C, A149, '塗裝各項不良率-明細'!I:I, "5OE*"), 0)</f>
        <v>0</v>
      </c>
      <c r="F149" s="86">
        <f>IFERROR(SUMIFS('塗裝各項不良率-明細'!K:K, '塗裝各項不良率-明細'!C:C, A149, '塗裝各項不良率-明細'!I:I, "5PP*") / SUMIFS('塗裝各項不良率-明細'!J:J, '塗裝各項不良率-明細'!C:C, A149, '塗裝各項不良率-明細'!I:I, "5PP*"), 0)</f>
        <v>0</v>
      </c>
      <c r="G149" s="86">
        <f>IFERROR(SUMIFS('塗裝各項不良率-明細'!K:K, '塗裝各項不良率-明細'!C:C, A149, '塗裝各項不良率-明細'!I:I, "5SN*") / SUMIFS('塗裝各項不良率-明細'!J:J, '塗裝各項不良率-明細'!C:C, A149, '塗裝各項不良率-明細'!I:I, "5SN*"), 0)</f>
        <v>0</v>
      </c>
    </row>
    <row r="150" spans="1:7">
      <c r="A150" s="87"/>
      <c r="B150" s="71">
        <f>SUMIF('塗裝各項不良率-明細'!C:C,工作表6!A:A,'塗裝各項不良率-明細'!J:J)</f>
        <v>0</v>
      </c>
      <c r="C150" s="71">
        <f>SUMIF('塗裝各項不良率-明細'!C:C,工作表6!A:A,'塗裝各項不良率-明細'!K:K)</f>
        <v>0</v>
      </c>
      <c r="D150" s="70" t="e">
        <f t="shared" si="8"/>
        <v>#DIV/0!</v>
      </c>
      <c r="E150" s="86">
        <f>IFERROR(SUMIFS('塗裝各項不良率-明細'!K:K, '塗裝各項不良率-明細'!C:C, A150, '塗裝各項不良率-明細'!I:I, "5OE*") / SUMIFS('塗裝各項不良率-明細'!J:J, '塗裝各項不良率-明細'!C:C, A150, '塗裝各項不良率-明細'!I:I, "5OE*"), 0)</f>
        <v>0</v>
      </c>
      <c r="F150" s="86">
        <f>IFERROR(SUMIFS('塗裝各項不良率-明細'!K:K, '塗裝各項不良率-明細'!C:C, A150, '塗裝各項不良率-明細'!I:I, "5PP*") / SUMIFS('塗裝各項不良率-明細'!J:J, '塗裝各項不良率-明細'!C:C, A150, '塗裝各項不良率-明細'!I:I, "5PP*"), 0)</f>
        <v>0</v>
      </c>
      <c r="G150" s="86">
        <f>IFERROR(SUMIFS('塗裝各項不良率-明細'!K:K, '塗裝各項不良率-明細'!C:C, A150, '塗裝各項不良率-明細'!I:I, "5SN*") / SUMIFS('塗裝各項不良率-明細'!J:J, '塗裝各項不良率-明細'!C:C, A150, '塗裝各項不良率-明細'!I:I, "5SN*"), 0)</f>
        <v>0</v>
      </c>
    </row>
    <row r="151" spans="1:7">
      <c r="A151" s="87"/>
      <c r="B151" s="71">
        <f>SUMIF('塗裝各項不良率-明細'!C:C,工作表6!A:A,'塗裝各項不良率-明細'!J:J)</f>
        <v>0</v>
      </c>
      <c r="C151" s="71">
        <f>SUMIF('塗裝各項不良率-明細'!C:C,工作表6!A:A,'塗裝各項不良率-明細'!K:K)</f>
        <v>0</v>
      </c>
      <c r="D151" s="70" t="e">
        <f t="shared" si="8"/>
        <v>#DIV/0!</v>
      </c>
      <c r="E151" s="86">
        <f>IFERROR(SUMIFS('塗裝各項不良率-明細'!K:K, '塗裝各項不良率-明細'!C:C, A151, '塗裝各項不良率-明細'!I:I, "5OE*") / SUMIFS('塗裝各項不良率-明細'!J:J, '塗裝各項不良率-明細'!C:C, A151, '塗裝各項不良率-明細'!I:I, "5OE*"), 0)</f>
        <v>0</v>
      </c>
      <c r="F151" s="86">
        <f>IFERROR(SUMIFS('塗裝各項不良率-明細'!K:K, '塗裝各項不良率-明細'!C:C, A151, '塗裝各項不良率-明細'!I:I, "5PP*") / SUMIFS('塗裝各項不良率-明細'!J:J, '塗裝各項不良率-明細'!C:C, A151, '塗裝各項不良率-明細'!I:I, "5PP*"), 0)</f>
        <v>0</v>
      </c>
      <c r="G151" s="86">
        <f>IFERROR(SUMIFS('塗裝各項不良率-明細'!K:K, '塗裝各項不良率-明細'!C:C, A151, '塗裝各項不良率-明細'!I:I, "5SN*") / SUMIFS('塗裝各項不良率-明細'!J:J, '塗裝各項不良率-明細'!C:C, A151, '塗裝各項不良率-明細'!I:I, "5SN*"), 0)</f>
        <v>0</v>
      </c>
    </row>
    <row r="152" spans="1:7">
      <c r="A152" s="87"/>
      <c r="B152" s="71">
        <f>SUMIF('塗裝各項不良率-明細'!C:C,工作表6!A:A,'塗裝各項不良率-明細'!J:J)</f>
        <v>0</v>
      </c>
      <c r="C152" s="71">
        <f>SUMIF('塗裝各項不良率-明細'!C:C,工作表6!A:A,'塗裝各項不良率-明細'!K:K)</f>
        <v>0</v>
      </c>
      <c r="D152" s="70" t="e">
        <f t="shared" si="8"/>
        <v>#DIV/0!</v>
      </c>
      <c r="E152" s="86">
        <f>IFERROR(SUMIFS('塗裝各項不良率-明細'!K:K, '塗裝各項不良率-明細'!C:C, A152, '塗裝各項不良率-明細'!I:I, "5OE*") / SUMIFS('塗裝各項不良率-明細'!J:J, '塗裝各項不良率-明細'!C:C, A152, '塗裝各項不良率-明細'!I:I, "5OE*"), 0)</f>
        <v>0</v>
      </c>
      <c r="F152" s="86">
        <f>IFERROR(SUMIFS('塗裝各項不良率-明細'!K:K, '塗裝各項不良率-明細'!C:C, A152, '塗裝各項不良率-明細'!I:I, "5PP*") / SUMIFS('塗裝各項不良率-明細'!J:J, '塗裝各項不良率-明細'!C:C, A152, '塗裝各項不良率-明細'!I:I, "5PP*"), 0)</f>
        <v>0</v>
      </c>
      <c r="G152" s="86">
        <f>IFERROR(SUMIFS('塗裝各項不良率-明細'!K:K, '塗裝各項不良率-明細'!C:C, A152, '塗裝各項不良率-明細'!I:I, "5SN*") / SUMIFS('塗裝各項不良率-明細'!J:J, '塗裝各項不良率-明細'!C:C, A152, '塗裝各項不良率-明細'!I:I, "5SN*"), 0)</f>
        <v>0</v>
      </c>
    </row>
    <row r="153" spans="1:7">
      <c r="A153" s="87"/>
      <c r="B153" s="71">
        <f>SUMIF('塗裝各項不良率-明細'!C:C,工作表6!A:A,'塗裝各項不良率-明細'!J:J)</f>
        <v>0</v>
      </c>
      <c r="C153" s="71">
        <f>SUMIF('塗裝各項不良率-明細'!C:C,工作表6!A:A,'塗裝各項不良率-明細'!K:K)</f>
        <v>0</v>
      </c>
      <c r="D153" s="70" t="e">
        <f t="shared" si="8"/>
        <v>#DIV/0!</v>
      </c>
      <c r="E153" s="86">
        <f>IFERROR(SUMIFS('塗裝各項不良率-明細'!K:K, '塗裝各項不良率-明細'!C:C, A153, '塗裝各項不良率-明細'!I:I, "5OE*") / SUMIFS('塗裝各項不良率-明細'!J:J, '塗裝各項不良率-明細'!C:C, A153, '塗裝各項不良率-明細'!I:I, "5OE*"), 0)</f>
        <v>0</v>
      </c>
      <c r="F153" s="86">
        <f>IFERROR(SUMIFS('塗裝各項不良率-明細'!K:K, '塗裝各項不良率-明細'!C:C, A153, '塗裝各項不良率-明細'!I:I, "5PP*") / SUMIFS('塗裝各項不良率-明細'!J:J, '塗裝各項不良率-明細'!C:C, A153, '塗裝各項不良率-明細'!I:I, "5PP*"), 0)</f>
        <v>0</v>
      </c>
      <c r="G153" s="86">
        <f>IFERROR(SUMIFS('塗裝各項不良率-明細'!K:K, '塗裝各項不良率-明細'!C:C, A153, '塗裝各項不良率-明細'!I:I, "5SN*") / SUMIFS('塗裝各項不良率-明細'!J:J, '塗裝各項不良率-明細'!C:C, A153, '塗裝各項不良率-明細'!I:I, "5SN*"), 0)</f>
        <v>0</v>
      </c>
    </row>
    <row r="154" spans="1:7">
      <c r="A154" s="87"/>
      <c r="B154" s="71">
        <f>SUMIF('塗裝各項不良率-明細'!C:C,工作表6!A:A,'塗裝各項不良率-明細'!J:J)</f>
        <v>0</v>
      </c>
      <c r="C154" s="71">
        <f>SUMIF('塗裝各項不良率-明細'!C:C,工作表6!A:A,'塗裝各項不良率-明細'!K:K)</f>
        <v>0</v>
      </c>
      <c r="D154" s="70" t="e">
        <f t="shared" si="8"/>
        <v>#DIV/0!</v>
      </c>
      <c r="E154" s="86">
        <f>IFERROR(SUMIFS('塗裝各項不良率-明細'!K:K, '塗裝各項不良率-明細'!C:C, A154, '塗裝各項不良率-明細'!I:I, "5OE*") / SUMIFS('塗裝各項不良率-明細'!J:J, '塗裝各項不良率-明細'!C:C, A154, '塗裝各項不良率-明細'!I:I, "5OE*"), 0)</f>
        <v>0</v>
      </c>
      <c r="F154" s="86">
        <f>IFERROR(SUMIFS('塗裝各項不良率-明細'!K:K, '塗裝各項不良率-明細'!C:C, A154, '塗裝各項不良率-明細'!I:I, "5PP*") / SUMIFS('塗裝各項不良率-明細'!J:J, '塗裝各項不良率-明細'!C:C, A154, '塗裝各項不良率-明細'!I:I, "5PP*"), 0)</f>
        <v>0</v>
      </c>
      <c r="G154" s="86">
        <f>IFERROR(SUMIFS('塗裝各項不良率-明細'!K:K, '塗裝各項不良率-明細'!C:C, A154, '塗裝各項不良率-明細'!I:I, "5SN*") / SUMIFS('塗裝各項不良率-明細'!J:J, '塗裝各項不良率-明細'!C:C, A154, '塗裝各項不良率-明細'!I:I, "5SN*"), 0)</f>
        <v>0</v>
      </c>
    </row>
    <row r="155" spans="1:7">
      <c r="A155" s="87"/>
      <c r="B155" s="71">
        <f>SUMIF('塗裝各項不良率-明細'!C:C,工作表6!A:A,'塗裝各項不良率-明細'!J:J)</f>
        <v>0</v>
      </c>
      <c r="C155" s="71">
        <f>SUMIF('塗裝各項不良率-明細'!C:C,工作表6!A:A,'塗裝各項不良率-明細'!K:K)</f>
        <v>0</v>
      </c>
      <c r="D155" s="70" t="e">
        <f t="shared" si="8"/>
        <v>#DIV/0!</v>
      </c>
      <c r="E155" s="86">
        <f>IFERROR(SUMIFS('塗裝各項不良率-明細'!K:K, '塗裝各項不良率-明細'!C:C, A155, '塗裝各項不良率-明細'!I:I, "5OE*") / SUMIFS('塗裝各項不良率-明細'!J:J, '塗裝各項不良率-明細'!C:C, A155, '塗裝各項不良率-明細'!I:I, "5OE*"), 0)</f>
        <v>0</v>
      </c>
      <c r="F155" s="86">
        <f>IFERROR(SUMIFS('塗裝各項不良率-明細'!K:K, '塗裝各項不良率-明細'!C:C, A155, '塗裝各項不良率-明細'!I:I, "5PP*") / SUMIFS('塗裝各項不良率-明細'!J:J, '塗裝各項不良率-明細'!C:C, A155, '塗裝各項不良率-明細'!I:I, "5PP*"), 0)</f>
        <v>0</v>
      </c>
      <c r="G155" s="86">
        <f>IFERROR(SUMIFS('塗裝各項不良率-明細'!K:K, '塗裝各項不良率-明細'!C:C, A155, '塗裝各項不良率-明細'!I:I, "5SN*") / SUMIFS('塗裝各項不良率-明細'!J:J, '塗裝各項不良率-明細'!C:C, A155, '塗裝各項不良率-明細'!I:I, "5SN*"), 0)</f>
        <v>0</v>
      </c>
    </row>
    <row r="156" spans="1:7">
      <c r="A156" s="87"/>
      <c r="B156" s="71">
        <f>SUMIF('塗裝各項不良率-明細'!C:C,工作表6!A:A,'塗裝各項不良率-明細'!J:J)</f>
        <v>0</v>
      </c>
      <c r="C156" s="71">
        <f>SUMIF('塗裝各項不良率-明細'!C:C,工作表6!A:A,'塗裝各項不良率-明細'!K:K)</f>
        <v>0</v>
      </c>
      <c r="D156" s="70" t="e">
        <f t="shared" si="8"/>
        <v>#DIV/0!</v>
      </c>
      <c r="E156" s="86">
        <f>IFERROR(SUMIFS('塗裝各項不良率-明細'!K:K, '塗裝各項不良率-明細'!C:C, A156, '塗裝各項不良率-明細'!I:I, "5OE*") / SUMIFS('塗裝各項不良率-明細'!J:J, '塗裝各項不良率-明細'!C:C, A156, '塗裝各項不良率-明細'!I:I, "5OE*"), 0)</f>
        <v>0</v>
      </c>
      <c r="F156" s="86">
        <f>IFERROR(SUMIFS('塗裝各項不良率-明細'!K:K, '塗裝各項不良率-明細'!C:C, A156, '塗裝各項不良率-明細'!I:I, "5PP*") / SUMIFS('塗裝各項不良率-明細'!J:J, '塗裝各項不良率-明細'!C:C, A156, '塗裝各項不良率-明細'!I:I, "5PP*"), 0)</f>
        <v>0</v>
      </c>
      <c r="G156" s="86">
        <f>IFERROR(SUMIFS('塗裝各項不良率-明細'!K:K, '塗裝各項不良率-明細'!C:C, A156, '塗裝各項不良率-明細'!I:I, "5SN*") / SUMIFS('塗裝各項不良率-明細'!J:J, '塗裝各項不良率-明細'!C:C, A156, '塗裝各項不良率-明細'!I:I, "5SN*"), 0)</f>
        <v>0</v>
      </c>
    </row>
    <row r="157" spans="1:7">
      <c r="A157" s="87"/>
      <c r="B157" s="71">
        <f>SUMIF('塗裝各項不良率-明細'!C:C,工作表6!A:A,'塗裝各項不良率-明細'!J:J)</f>
        <v>0</v>
      </c>
      <c r="C157" s="71">
        <f>SUMIF('塗裝各項不良率-明細'!C:C,工作表6!A:A,'塗裝各項不良率-明細'!K:K)</f>
        <v>0</v>
      </c>
      <c r="D157" s="70" t="e">
        <f t="shared" si="8"/>
        <v>#DIV/0!</v>
      </c>
      <c r="E157" s="86">
        <f>IFERROR(SUMIFS('塗裝各項不良率-明細'!K:K, '塗裝各項不良率-明細'!C:C, A157, '塗裝各項不良率-明細'!I:I, "5OE*") / SUMIFS('塗裝各項不良率-明細'!J:J, '塗裝各項不良率-明細'!C:C, A157, '塗裝各項不良率-明細'!I:I, "5OE*"), 0)</f>
        <v>0</v>
      </c>
      <c r="F157" s="86">
        <f>IFERROR(SUMIFS('塗裝各項不良率-明細'!K:K, '塗裝各項不良率-明細'!C:C, A157, '塗裝各項不良率-明細'!I:I, "5PP*") / SUMIFS('塗裝各項不良率-明細'!J:J, '塗裝各項不良率-明細'!C:C, A157, '塗裝各項不良率-明細'!I:I, "5PP*"), 0)</f>
        <v>0</v>
      </c>
      <c r="G157" s="86">
        <f>IFERROR(SUMIFS('塗裝各項不良率-明細'!K:K, '塗裝各項不良率-明細'!C:C, A157, '塗裝各項不良率-明細'!I:I, "5SN*") / SUMIFS('塗裝各項不良率-明細'!J:J, '塗裝各項不良率-明細'!C:C, A157, '塗裝各項不良率-明細'!I:I, "5SN*"), 0)</f>
        <v>0</v>
      </c>
    </row>
    <row r="158" spans="1:7">
      <c r="A158" s="87"/>
      <c r="B158" s="71">
        <f>SUMIF('塗裝各項不良率-明細'!C:C,工作表6!A:A,'塗裝各項不良率-明細'!J:J)</f>
        <v>0</v>
      </c>
      <c r="C158" s="71">
        <f>SUMIF('塗裝各項不良率-明細'!C:C,工作表6!A:A,'塗裝各項不良率-明細'!K:K)</f>
        <v>0</v>
      </c>
      <c r="D158" s="70" t="e">
        <f t="shared" si="8"/>
        <v>#DIV/0!</v>
      </c>
      <c r="E158" s="86">
        <f>IFERROR(SUMIFS('塗裝各項不良率-明細'!K:K, '塗裝各項不良率-明細'!C:C, A158, '塗裝各項不良率-明細'!I:I, "5OE*") / SUMIFS('塗裝各項不良率-明細'!J:J, '塗裝各項不良率-明細'!C:C, A158, '塗裝各項不良率-明細'!I:I, "5OE*"), 0)</f>
        <v>0</v>
      </c>
      <c r="F158" s="86">
        <f>IFERROR(SUMIFS('塗裝各項不良率-明細'!K:K, '塗裝各項不良率-明細'!C:C, A158, '塗裝各項不良率-明細'!I:I, "5PP*") / SUMIFS('塗裝各項不良率-明細'!J:J, '塗裝各項不良率-明細'!C:C, A158, '塗裝各項不良率-明細'!I:I, "5PP*"), 0)</f>
        <v>0</v>
      </c>
      <c r="G158" s="86">
        <f>IFERROR(SUMIFS('塗裝各項不良率-明細'!K:K, '塗裝各項不良率-明細'!C:C, A158, '塗裝各項不良率-明細'!I:I, "5SN*") / SUMIFS('塗裝各項不良率-明細'!J:J, '塗裝各項不良率-明細'!C:C, A158, '塗裝各項不良率-明細'!I:I, "5SN*"), 0)</f>
        <v>0</v>
      </c>
    </row>
    <row r="159" spans="1:7">
      <c r="A159" s="87"/>
      <c r="B159" s="71">
        <f>SUMIF('塗裝各項不良率-明細'!C:C,工作表6!A:A,'塗裝各項不良率-明細'!J:J)</f>
        <v>0</v>
      </c>
      <c r="C159" s="71">
        <f>SUMIF('塗裝各項不良率-明細'!C:C,工作表6!A:A,'塗裝各項不良率-明細'!K:K)</f>
        <v>0</v>
      </c>
      <c r="D159" s="70" t="e">
        <f t="shared" si="8"/>
        <v>#DIV/0!</v>
      </c>
      <c r="E159" s="86">
        <f>IFERROR(SUMIFS('塗裝各項不良率-明細'!K:K, '塗裝各項不良率-明細'!C:C, A159, '塗裝各項不良率-明細'!I:I, "5OE*") / SUMIFS('塗裝各項不良率-明細'!J:J, '塗裝各項不良率-明細'!C:C, A159, '塗裝各項不良率-明細'!I:I, "5OE*"), 0)</f>
        <v>0</v>
      </c>
      <c r="F159" s="86">
        <f>IFERROR(SUMIFS('塗裝各項不良率-明細'!K:K, '塗裝各項不良率-明細'!C:C, A159, '塗裝各項不良率-明細'!I:I, "5PP*") / SUMIFS('塗裝各項不良率-明細'!J:J, '塗裝各項不良率-明細'!C:C, A159, '塗裝各項不良率-明細'!I:I, "5PP*"), 0)</f>
        <v>0</v>
      </c>
      <c r="G159" s="86">
        <f>IFERROR(SUMIFS('塗裝各項不良率-明細'!K:K, '塗裝各項不良率-明細'!C:C, A159, '塗裝各項不良率-明細'!I:I, "5SN*") / SUMIFS('塗裝各項不良率-明細'!J:J, '塗裝各項不良率-明細'!C:C, A159, '塗裝各項不良率-明細'!I:I, "5SN*"), 0)</f>
        <v>0</v>
      </c>
    </row>
    <row r="160" spans="1:7">
      <c r="A160" s="87"/>
      <c r="B160" s="71">
        <f>SUMIF('塗裝各項不良率-明細'!C:C,工作表6!A:A,'塗裝各項不良率-明細'!J:J)</f>
        <v>0</v>
      </c>
      <c r="C160" s="71">
        <f>SUMIF('塗裝各項不良率-明細'!C:C,工作表6!A:A,'塗裝各項不良率-明細'!K:K)</f>
        <v>0</v>
      </c>
      <c r="D160" s="70" t="e">
        <f t="shared" si="8"/>
        <v>#DIV/0!</v>
      </c>
      <c r="E160" s="86">
        <f>IFERROR(SUMIFS('塗裝各項不良率-明細'!K:K, '塗裝各項不良率-明細'!C:C, A160, '塗裝各項不良率-明細'!I:I, "5OE*") / SUMIFS('塗裝各項不良率-明細'!J:J, '塗裝各項不良率-明細'!C:C, A160, '塗裝各項不良率-明細'!I:I, "5OE*"), 0)</f>
        <v>0</v>
      </c>
      <c r="F160" s="86">
        <f>IFERROR(SUMIFS('塗裝各項不良率-明細'!K:K, '塗裝各項不良率-明細'!C:C, A160, '塗裝各項不良率-明細'!I:I, "5PP*") / SUMIFS('塗裝各項不良率-明細'!J:J, '塗裝各項不良率-明細'!C:C, A160, '塗裝各項不良率-明細'!I:I, "5PP*"), 0)</f>
        <v>0</v>
      </c>
      <c r="G160" s="86">
        <f>IFERROR(SUMIFS('塗裝各項不良率-明細'!K:K, '塗裝各項不良率-明細'!C:C, A160, '塗裝各項不良率-明細'!I:I, "5SN*") / SUMIFS('塗裝各項不良率-明細'!J:J, '塗裝各項不良率-明細'!C:C, A160, '塗裝各項不良率-明細'!I:I, "5SN*"), 0)</f>
        <v>0</v>
      </c>
    </row>
    <row r="161" spans="1:7">
      <c r="A161" s="87"/>
      <c r="B161" s="71">
        <f>SUMIF('塗裝各項不良率-明細'!C:C,工作表6!A:A,'塗裝各項不良率-明細'!J:J)</f>
        <v>0</v>
      </c>
      <c r="C161" s="71">
        <f>SUMIF('塗裝各項不良率-明細'!C:C,工作表6!A:A,'塗裝各項不良率-明細'!K:K)</f>
        <v>0</v>
      </c>
      <c r="D161" s="70" t="e">
        <f t="shared" si="8"/>
        <v>#DIV/0!</v>
      </c>
      <c r="E161" s="86">
        <f>IFERROR(SUMIFS('塗裝各項不良率-明細'!K:K, '塗裝各項不良率-明細'!C:C, A161, '塗裝各項不良率-明細'!I:I, "5OE*") / SUMIFS('塗裝各項不良率-明細'!J:J, '塗裝各項不良率-明細'!C:C, A161, '塗裝各項不良率-明細'!I:I, "5OE*"), 0)</f>
        <v>0</v>
      </c>
      <c r="F161" s="86">
        <f>IFERROR(SUMIFS('塗裝各項不良率-明細'!K:K, '塗裝各項不良率-明細'!C:C, A161, '塗裝各項不良率-明細'!I:I, "5PP*") / SUMIFS('塗裝各項不良率-明細'!J:J, '塗裝各項不良率-明細'!C:C, A161, '塗裝各項不良率-明細'!I:I, "5PP*"), 0)</f>
        <v>0</v>
      </c>
      <c r="G161" s="86">
        <f>IFERROR(SUMIFS('塗裝各項不良率-明細'!K:K, '塗裝各項不良率-明細'!C:C, A161, '塗裝各項不良率-明細'!I:I, "5SN*") / SUMIFS('塗裝各項不良率-明細'!J:J, '塗裝各項不良率-明細'!C:C, A161, '塗裝各項不良率-明細'!I:I, "5SN*"), 0)</f>
        <v>0</v>
      </c>
    </row>
    <row r="162" spans="1:7">
      <c r="A162" s="87"/>
      <c r="B162" s="71">
        <f>SUMIF('塗裝各項不良率-明細'!C:C,工作表6!A:A,'塗裝各項不良率-明細'!J:J)</f>
        <v>0</v>
      </c>
      <c r="C162" s="71">
        <f>SUMIF('塗裝各項不良率-明細'!C:C,工作表6!A:A,'塗裝各項不良率-明細'!K:K)</f>
        <v>0</v>
      </c>
      <c r="D162" s="70" t="e">
        <f t="shared" si="8"/>
        <v>#DIV/0!</v>
      </c>
      <c r="E162" s="86">
        <f>IFERROR(SUMIFS('塗裝各項不良率-明細'!K:K, '塗裝各項不良率-明細'!C:C, A162, '塗裝各項不良率-明細'!I:I, "5OE*") / SUMIFS('塗裝各項不良率-明細'!J:J, '塗裝各項不良率-明細'!C:C, A162, '塗裝各項不良率-明細'!I:I, "5OE*"), 0)</f>
        <v>0</v>
      </c>
      <c r="F162" s="86">
        <f>IFERROR(SUMIFS('塗裝各項不良率-明細'!K:K, '塗裝各項不良率-明細'!C:C, A162, '塗裝各項不良率-明細'!I:I, "5PP*") / SUMIFS('塗裝各項不良率-明細'!J:J, '塗裝各項不良率-明細'!C:C, A162, '塗裝各項不良率-明細'!I:I, "5PP*"), 0)</f>
        <v>0</v>
      </c>
      <c r="G162" s="86">
        <f>IFERROR(SUMIFS('塗裝各項不良率-明細'!K:K, '塗裝各項不良率-明細'!C:C, A162, '塗裝各項不良率-明細'!I:I, "5SN*") / SUMIFS('塗裝各項不良率-明細'!J:J, '塗裝各項不良率-明細'!C:C, A162, '塗裝各項不良率-明細'!I:I, "5SN*"), 0)</f>
        <v>0</v>
      </c>
    </row>
    <row r="163" spans="1:7">
      <c r="A163" s="87"/>
      <c r="B163" s="71">
        <f>SUMIF('塗裝各項不良率-明細'!C:C,工作表6!A:A,'塗裝各項不良率-明細'!J:J)</f>
        <v>0</v>
      </c>
      <c r="C163" s="71">
        <f>SUMIF('塗裝各項不良率-明細'!C:C,工作表6!A:A,'塗裝各項不良率-明細'!K:K)</f>
        <v>0</v>
      </c>
      <c r="D163" s="70" t="e">
        <f t="shared" si="8"/>
        <v>#DIV/0!</v>
      </c>
      <c r="E163" s="86">
        <f>IFERROR(SUMIFS('塗裝各項不良率-明細'!K:K, '塗裝各項不良率-明細'!C:C, A163, '塗裝各項不良率-明細'!I:I, "5OE*") / SUMIFS('塗裝各項不良率-明細'!J:J, '塗裝各項不良率-明細'!C:C, A163, '塗裝各項不良率-明細'!I:I, "5OE*"), 0)</f>
        <v>0</v>
      </c>
      <c r="F163" s="86">
        <f>IFERROR(SUMIFS('塗裝各項不良率-明細'!K:K, '塗裝各項不良率-明細'!C:C, A163, '塗裝各項不良率-明細'!I:I, "5PP*") / SUMIFS('塗裝各項不良率-明細'!J:J, '塗裝各項不良率-明細'!C:C, A163, '塗裝各項不良率-明細'!I:I, "5PP*"), 0)</f>
        <v>0</v>
      </c>
      <c r="G163" s="86">
        <f>IFERROR(SUMIFS('塗裝各項不良率-明細'!K:K, '塗裝各項不良率-明細'!C:C, A163, '塗裝各項不良率-明細'!I:I, "5SN*") / SUMIFS('塗裝各項不良率-明細'!J:J, '塗裝各項不良率-明細'!C:C, A163, '塗裝各項不良率-明細'!I:I, "5SN*"), 0)</f>
        <v>0</v>
      </c>
    </row>
    <row r="164" spans="1:7">
      <c r="A164" s="87"/>
      <c r="B164" s="71">
        <f>SUMIF('塗裝各項不良率-明細'!C:C,工作表6!A:A,'塗裝各項不良率-明細'!J:J)</f>
        <v>0</v>
      </c>
      <c r="C164" s="71">
        <f>SUMIF('塗裝各項不良率-明細'!C:C,工作表6!A:A,'塗裝各項不良率-明細'!K:K)</f>
        <v>0</v>
      </c>
      <c r="D164" s="70" t="e">
        <f t="shared" ref="D164:D172" si="9">C164/B164%</f>
        <v>#DIV/0!</v>
      </c>
      <c r="E164" s="86">
        <f>IFERROR(SUMIFS('塗裝各項不良率-明細'!K:K, '塗裝各項不良率-明細'!C:C, A164, '塗裝各項不良率-明細'!I:I, "5OE*") / SUMIFS('塗裝各項不良率-明細'!J:J, '塗裝各項不良率-明細'!C:C, A164, '塗裝各項不良率-明細'!I:I, "5OE*"), 0)</f>
        <v>0</v>
      </c>
      <c r="F164" s="86">
        <f>IFERROR(SUMIFS('塗裝各項不良率-明細'!K:K, '塗裝各項不良率-明細'!C:C, A164, '塗裝各項不良率-明細'!I:I, "5PP*") / SUMIFS('塗裝各項不良率-明細'!J:J, '塗裝各項不良率-明細'!C:C, A164, '塗裝各項不良率-明細'!I:I, "5PP*"), 0)</f>
        <v>0</v>
      </c>
      <c r="G164" s="86">
        <f>IFERROR(SUMIFS('塗裝各項不良率-明細'!K:K, '塗裝各項不良率-明細'!C:C, A164, '塗裝各項不良率-明細'!I:I, "5SN*") / SUMIFS('塗裝各項不良率-明細'!J:J, '塗裝各項不良率-明細'!C:C, A164, '塗裝各項不良率-明細'!I:I, "5SN*"), 0)</f>
        <v>0</v>
      </c>
    </row>
    <row r="165" spans="1:7">
      <c r="A165" s="87"/>
      <c r="B165" s="71">
        <f>SUMIF('塗裝各項不良率-明細'!C:C,工作表6!A:A,'塗裝各項不良率-明細'!J:J)</f>
        <v>0</v>
      </c>
      <c r="C165" s="71">
        <f>SUMIF('塗裝各項不良率-明細'!C:C,工作表6!A:A,'塗裝各項不良率-明細'!K:K)</f>
        <v>0</v>
      </c>
      <c r="D165" s="70" t="e">
        <f t="shared" si="9"/>
        <v>#DIV/0!</v>
      </c>
      <c r="E165" s="86">
        <f>IFERROR(SUMIFS('塗裝各項不良率-明細'!K:K, '塗裝各項不良率-明細'!C:C, A165, '塗裝各項不良率-明細'!I:I, "5OE*") / SUMIFS('塗裝各項不良率-明細'!J:J, '塗裝各項不良率-明細'!C:C, A165, '塗裝各項不良率-明細'!I:I, "5OE*"), 0)</f>
        <v>0</v>
      </c>
      <c r="F165" s="86">
        <f>IFERROR(SUMIFS('塗裝各項不良率-明細'!K:K, '塗裝各項不良率-明細'!C:C, A165, '塗裝各項不良率-明細'!I:I, "5PP*") / SUMIFS('塗裝各項不良率-明細'!J:J, '塗裝各項不良率-明細'!C:C, A165, '塗裝各項不良率-明細'!I:I, "5PP*"), 0)</f>
        <v>0</v>
      </c>
      <c r="G165" s="86">
        <f>IFERROR(SUMIFS('塗裝各項不良率-明細'!K:K, '塗裝各項不良率-明細'!C:C, A165, '塗裝各項不良率-明細'!I:I, "5SN*") / SUMIFS('塗裝各項不良率-明細'!J:J, '塗裝各項不良率-明細'!C:C, A165, '塗裝各項不良率-明細'!I:I, "5SN*"), 0)</f>
        <v>0</v>
      </c>
    </row>
    <row r="166" spans="1:7">
      <c r="A166" s="87"/>
      <c r="B166" s="71">
        <f>SUMIF('塗裝各項不良率-明細'!C:C,工作表6!A:A,'塗裝各項不良率-明細'!J:J)</f>
        <v>0</v>
      </c>
      <c r="C166" s="71">
        <f>SUMIF('塗裝各項不良率-明細'!C:C,工作表6!A:A,'塗裝各項不良率-明細'!K:K)</f>
        <v>0</v>
      </c>
      <c r="D166" s="70" t="e">
        <f t="shared" si="9"/>
        <v>#DIV/0!</v>
      </c>
      <c r="E166" s="86">
        <f>IFERROR(SUMIFS('塗裝各項不良率-明細'!K:K, '塗裝各項不良率-明細'!C:C, A166, '塗裝各項不良率-明細'!I:I, "5OE*") / SUMIFS('塗裝各項不良率-明細'!J:J, '塗裝各項不良率-明細'!C:C, A166, '塗裝各項不良率-明細'!I:I, "5OE*"), 0)</f>
        <v>0</v>
      </c>
      <c r="F166" s="86">
        <f>IFERROR(SUMIFS('塗裝各項不良率-明細'!K:K, '塗裝各項不良率-明細'!C:C, A166, '塗裝各項不良率-明細'!I:I, "5PP*") / SUMIFS('塗裝各項不良率-明細'!J:J, '塗裝各項不良率-明細'!C:C, A166, '塗裝各項不良率-明細'!I:I, "5PP*"), 0)</f>
        <v>0</v>
      </c>
      <c r="G166" s="86">
        <f>IFERROR(SUMIFS('塗裝各項不良率-明細'!K:K, '塗裝各項不良率-明細'!C:C, A166, '塗裝各項不良率-明細'!I:I, "5SN*") / SUMIFS('塗裝各項不良率-明細'!J:J, '塗裝各項不良率-明細'!C:C, A166, '塗裝各項不良率-明細'!I:I, "5SN*"), 0)</f>
        <v>0</v>
      </c>
    </row>
    <row r="167" spans="1:7">
      <c r="A167" s="87"/>
      <c r="B167" s="71">
        <f>SUMIF('塗裝各項不良率-明細'!C:C,工作表6!A:A,'塗裝各項不良率-明細'!J:J)</f>
        <v>0</v>
      </c>
      <c r="C167" s="71">
        <f>SUMIF('塗裝各項不良率-明細'!C:C,工作表6!A:A,'塗裝各項不良率-明細'!K:K)</f>
        <v>0</v>
      </c>
      <c r="D167" s="70" t="e">
        <f t="shared" si="9"/>
        <v>#DIV/0!</v>
      </c>
      <c r="E167" s="86">
        <f>IFERROR(SUMIFS('塗裝各項不良率-明細'!K:K, '塗裝各項不良率-明細'!C:C, A167, '塗裝各項不良率-明細'!I:I, "5OE*") / SUMIFS('塗裝各項不良率-明細'!J:J, '塗裝各項不良率-明細'!C:C, A167, '塗裝各項不良率-明細'!I:I, "5OE*"), 0)</f>
        <v>0</v>
      </c>
      <c r="F167" s="86">
        <f>IFERROR(SUMIFS('塗裝各項不良率-明細'!K:K, '塗裝各項不良率-明細'!C:C, A167, '塗裝各項不良率-明細'!I:I, "5PP*") / SUMIFS('塗裝各項不良率-明細'!J:J, '塗裝各項不良率-明細'!C:C, A167, '塗裝各項不良率-明細'!I:I, "5PP*"), 0)</f>
        <v>0</v>
      </c>
      <c r="G167" s="86">
        <f>IFERROR(SUMIFS('塗裝各項不良率-明細'!K:K, '塗裝各項不良率-明細'!C:C, A167, '塗裝各項不良率-明細'!I:I, "5SN*") / SUMIFS('塗裝各項不良率-明細'!J:J, '塗裝各項不良率-明細'!C:C, A167, '塗裝各項不良率-明細'!I:I, "5SN*"), 0)</f>
        <v>0</v>
      </c>
    </row>
    <row r="168" spans="1:7">
      <c r="A168" s="87"/>
      <c r="B168" s="71">
        <f>SUMIF('塗裝各項不良率-明細'!C:C,工作表6!A:A,'塗裝各項不良率-明細'!J:J)</f>
        <v>0</v>
      </c>
      <c r="C168" s="71">
        <f>SUMIF('塗裝各項不良率-明細'!C:C,工作表6!A:A,'塗裝各項不良率-明細'!K:K)</f>
        <v>0</v>
      </c>
      <c r="D168" s="70" t="e">
        <f t="shared" si="9"/>
        <v>#DIV/0!</v>
      </c>
      <c r="E168" s="86">
        <f>IFERROR(SUMIFS('塗裝各項不良率-明細'!K:K, '塗裝各項不良率-明細'!C:C, A168, '塗裝各項不良率-明細'!I:I, "5OE*") / SUMIFS('塗裝各項不良率-明細'!J:J, '塗裝各項不良率-明細'!C:C, A168, '塗裝各項不良率-明細'!I:I, "5OE*"), 0)</f>
        <v>0</v>
      </c>
      <c r="F168" s="86">
        <f>IFERROR(SUMIFS('塗裝各項不良率-明細'!K:K, '塗裝各項不良率-明細'!C:C, A168, '塗裝各項不良率-明細'!I:I, "5PP*") / SUMIFS('塗裝各項不良率-明細'!J:J, '塗裝各項不良率-明細'!C:C, A168, '塗裝各項不良率-明細'!I:I, "5PP*"), 0)</f>
        <v>0</v>
      </c>
      <c r="G168" s="86">
        <f>IFERROR(SUMIFS('塗裝各項不良率-明細'!K:K, '塗裝各項不良率-明細'!C:C, A168, '塗裝各項不良率-明細'!I:I, "5SN*") / SUMIFS('塗裝各項不良率-明細'!J:J, '塗裝各項不良率-明細'!C:C, A168, '塗裝各項不良率-明細'!I:I, "5SN*"), 0)</f>
        <v>0</v>
      </c>
    </row>
    <row r="169" spans="1:7">
      <c r="A169" s="87"/>
      <c r="B169" s="71">
        <f>SUMIF('塗裝各項不良率-明細'!C:C,工作表6!A:A,'塗裝各項不良率-明細'!J:J)</f>
        <v>0</v>
      </c>
      <c r="C169" s="71">
        <f>SUMIF('塗裝各項不良率-明細'!C:C,工作表6!A:A,'塗裝各項不良率-明細'!K:K)</f>
        <v>0</v>
      </c>
      <c r="D169" s="70" t="e">
        <f t="shared" si="9"/>
        <v>#DIV/0!</v>
      </c>
      <c r="E169" s="86">
        <f>IFERROR(SUMIFS('塗裝各項不良率-明細'!K:K, '塗裝各項不良率-明細'!C:C, A169, '塗裝各項不良率-明細'!I:I, "5OE*") / SUMIFS('塗裝各項不良率-明細'!J:J, '塗裝各項不良率-明細'!C:C, A169, '塗裝各項不良率-明細'!I:I, "5OE*"), 0)</f>
        <v>0</v>
      </c>
      <c r="F169" s="86">
        <f>IFERROR(SUMIFS('塗裝各項不良率-明細'!K:K, '塗裝各項不良率-明細'!C:C, A169, '塗裝各項不良率-明細'!I:I, "5PP*") / SUMIFS('塗裝各項不良率-明細'!J:J, '塗裝各項不良率-明細'!C:C, A169, '塗裝各項不良率-明細'!I:I, "5PP*"), 0)</f>
        <v>0</v>
      </c>
      <c r="G169" s="86">
        <f>IFERROR(SUMIFS('塗裝各項不良率-明細'!K:K, '塗裝各項不良率-明細'!C:C, A169, '塗裝各項不良率-明細'!I:I, "5SN*") / SUMIFS('塗裝各項不良率-明細'!J:J, '塗裝各項不良率-明細'!C:C, A169, '塗裝各項不良率-明細'!I:I, "5SN*"), 0)</f>
        <v>0</v>
      </c>
    </row>
    <row r="170" spans="1:7">
      <c r="A170" s="87"/>
      <c r="B170" s="71">
        <f>SUMIF('塗裝各項不良率-明細'!C:C,工作表6!A:A,'塗裝各項不良率-明細'!J:J)</f>
        <v>0</v>
      </c>
      <c r="C170" s="71">
        <f>SUMIF('塗裝各項不良率-明細'!C:C,工作表6!A:A,'塗裝各項不良率-明細'!K:K)</f>
        <v>0</v>
      </c>
      <c r="D170" s="70" t="e">
        <f t="shared" si="9"/>
        <v>#DIV/0!</v>
      </c>
      <c r="E170" s="86">
        <f>IFERROR(SUMIFS('塗裝各項不良率-明細'!K:K, '塗裝各項不良率-明細'!C:C, A170, '塗裝各項不良率-明細'!I:I, "5OE*") / SUMIFS('塗裝各項不良率-明細'!J:J, '塗裝各項不良率-明細'!C:C, A170, '塗裝各項不良率-明細'!I:I, "5OE*"), 0)</f>
        <v>0</v>
      </c>
      <c r="F170" s="86">
        <f>IFERROR(SUMIFS('塗裝各項不良率-明細'!K:K, '塗裝各項不良率-明細'!C:C, A170, '塗裝各項不良率-明細'!I:I, "5PP*") / SUMIFS('塗裝各項不良率-明細'!J:J, '塗裝各項不良率-明細'!C:C, A170, '塗裝各項不良率-明細'!I:I, "5PP*"), 0)</f>
        <v>0</v>
      </c>
      <c r="G170" s="86">
        <f>IFERROR(SUMIFS('塗裝各項不良率-明細'!K:K, '塗裝各項不良率-明細'!C:C, A170, '塗裝各項不良率-明細'!I:I, "5SN*") / SUMIFS('塗裝各項不良率-明細'!J:J, '塗裝各項不良率-明細'!C:C, A170, '塗裝各項不良率-明細'!I:I, "5SN*"), 0)</f>
        <v>0</v>
      </c>
    </row>
    <row r="171" spans="1:7">
      <c r="A171" s="87"/>
      <c r="B171" s="71">
        <f>SUMIF('塗裝各項不良率-明細'!C:C,工作表6!A:A,'塗裝各項不良率-明細'!J:J)</f>
        <v>0</v>
      </c>
      <c r="C171" s="71">
        <f>SUMIF('塗裝各項不良率-明細'!C:C,工作表6!A:A,'塗裝各項不良率-明細'!K:K)</f>
        <v>0</v>
      </c>
      <c r="D171" s="70" t="e">
        <f t="shared" si="9"/>
        <v>#DIV/0!</v>
      </c>
      <c r="E171" s="86">
        <f>IFERROR(SUMIFS('塗裝各項不良率-明細'!K:K, '塗裝各項不良率-明細'!C:C, A171, '塗裝各項不良率-明細'!I:I, "5OE*") / SUMIFS('塗裝各項不良率-明細'!J:J, '塗裝各項不良率-明細'!C:C, A171, '塗裝各項不良率-明細'!I:I, "5OE*"), 0)</f>
        <v>0</v>
      </c>
      <c r="F171" s="86">
        <f>IFERROR(SUMIFS('塗裝各項不良率-明細'!K:K, '塗裝各項不良率-明細'!C:C, A171, '塗裝各項不良率-明細'!I:I, "5PP*") / SUMIFS('塗裝各項不良率-明細'!J:J, '塗裝各項不良率-明細'!C:C, A171, '塗裝各項不良率-明細'!I:I, "5PP*"), 0)</f>
        <v>0</v>
      </c>
      <c r="G171" s="86">
        <f>IFERROR(SUMIFS('塗裝各項不良率-明細'!K:K, '塗裝各項不良率-明細'!C:C, A171, '塗裝各項不良率-明細'!I:I, "5SN*") / SUMIFS('塗裝各項不良率-明細'!J:J, '塗裝各項不良率-明細'!C:C, A171, '塗裝各項不良率-明細'!I:I, "5SN*"), 0)</f>
        <v>0</v>
      </c>
    </row>
    <row r="172" spans="1:7">
      <c r="A172" s="87"/>
      <c r="B172" s="71">
        <f>SUMIF('塗裝各項不良率-明細'!C:C,工作表6!A:A,'塗裝各項不良率-明細'!J:J)</f>
        <v>0</v>
      </c>
      <c r="C172" s="71">
        <f>SUMIF('塗裝各項不良率-明細'!C:C,工作表6!A:A,'塗裝各項不良率-明細'!K:K)</f>
        <v>0</v>
      </c>
      <c r="D172" s="70" t="e">
        <f t="shared" si="9"/>
        <v>#DIV/0!</v>
      </c>
      <c r="E172" s="86">
        <f>IFERROR(SUMIFS('塗裝各項不良率-明細'!K:K, '塗裝各項不良率-明細'!C:C, A172, '塗裝各項不良率-明細'!I:I, "5OE*") / SUMIFS('塗裝各項不良率-明細'!J:J, '塗裝各項不良率-明細'!C:C, A172, '塗裝各項不良率-明細'!I:I, "5OE*"), 0)</f>
        <v>0</v>
      </c>
      <c r="F172" s="86">
        <f>IFERROR(SUMIFS('塗裝各項不良率-明細'!K:K, '塗裝各項不良率-明細'!C:C, A172, '塗裝各項不良率-明細'!I:I, "5PP*") / SUMIFS('塗裝各項不良率-明細'!J:J, '塗裝各項不良率-明細'!C:C, A172, '塗裝各項不良率-明細'!I:I, "5PP*"), 0)</f>
        <v>0</v>
      </c>
      <c r="G172" s="86">
        <f>IFERROR(SUMIFS('塗裝各項不良率-明細'!K:K, '塗裝各項不良率-明細'!C:C, A172, '塗裝各項不良率-明細'!I:I, "5SN*") / SUMIFS('塗裝各項不良率-明細'!J:J, '塗裝各項不良率-明細'!C:C, A172, '塗裝各項不良率-明細'!I:I, "5SN*"), 0)</f>
        <v>0</v>
      </c>
    </row>
  </sheetData>
  <mergeCells count="1">
    <mergeCell ref="A33:D33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5"/>
  <sheetViews>
    <sheetView workbookViewId="0">
      <pane xSplit="2" ySplit="1" topLeftCell="C252" activePane="bottomRight" state="frozen"/>
      <selection pane="topRight" activeCell="C1" sqref="C1"/>
      <selection pane="bottomLeft" activeCell="A2" sqref="A2"/>
      <selection pane="bottomRight" activeCell="E274" sqref="E274"/>
    </sheetView>
  </sheetViews>
  <sheetFormatPr defaultRowHeight="15.75"/>
  <cols>
    <col min="1" max="3" width="9.140625" style="1"/>
    <col min="4" max="4" width="13.85546875" bestFit="1" customWidth="1"/>
    <col min="6" max="6" width="8.140625" style="2" bestFit="1" customWidth="1"/>
    <col min="7" max="7" width="11" style="2" bestFit="1" customWidth="1"/>
    <col min="8" max="8" width="12.28515625" style="2" bestFit="1" customWidth="1"/>
    <col min="9" max="9" width="21.28515625" style="2" bestFit="1" customWidth="1"/>
    <col min="10" max="10" width="6.28515625" style="2" bestFit="1" customWidth="1"/>
    <col min="11" max="11" width="5.140625" style="2" bestFit="1" customWidth="1"/>
    <col min="12" max="12" width="7.42578125" style="2" bestFit="1" customWidth="1"/>
    <col min="13" max="14" width="3.85546875" style="2" bestFit="1" customWidth="1"/>
    <col min="15" max="16" width="3.85546875" bestFit="1" customWidth="1"/>
    <col min="17" max="19" width="4.140625" customWidth="1"/>
  </cols>
  <sheetData>
    <row r="1" spans="1:18">
      <c r="A1" s="3" t="s">
        <v>9</v>
      </c>
      <c r="B1" s="3" t="s">
        <v>10</v>
      </c>
      <c r="C1" s="22" t="s">
        <v>17</v>
      </c>
      <c r="F1" s="2" t="s">
        <v>13</v>
      </c>
      <c r="G1" s="2" t="s">
        <v>15</v>
      </c>
      <c r="H1" s="2" t="s">
        <v>11</v>
      </c>
      <c r="I1" s="2" t="s">
        <v>12</v>
      </c>
      <c r="J1" s="2" t="s">
        <v>82</v>
      </c>
      <c r="K1" s="2" t="s">
        <v>85</v>
      </c>
      <c r="L1" s="2" t="s">
        <v>89</v>
      </c>
      <c r="M1" s="2" t="s">
        <v>88</v>
      </c>
      <c r="N1" s="2" t="s">
        <v>145</v>
      </c>
      <c r="O1" t="s">
        <v>153</v>
      </c>
      <c r="P1" s="2" t="s">
        <v>268</v>
      </c>
      <c r="Q1" s="2" t="s">
        <v>350</v>
      </c>
      <c r="R1" t="s">
        <v>417</v>
      </c>
    </row>
    <row r="2" spans="1:18">
      <c r="A2" s="1" t="s">
        <v>16</v>
      </c>
      <c r="B2" s="1" t="s">
        <v>126</v>
      </c>
      <c r="C2" s="1" t="s">
        <v>15</v>
      </c>
      <c r="D2" t="s">
        <v>95</v>
      </c>
      <c r="F2"/>
      <c r="G2"/>
      <c r="H2"/>
      <c r="I2"/>
      <c r="J2"/>
      <c r="K2"/>
      <c r="L2"/>
      <c r="M2"/>
      <c r="N2"/>
    </row>
    <row r="3" spans="1:18">
      <c r="A3" s="1" t="s">
        <v>48</v>
      </c>
      <c r="B3" s="1" t="s">
        <v>126</v>
      </c>
      <c r="C3" s="1" t="s">
        <v>81</v>
      </c>
      <c r="D3" t="s">
        <v>91</v>
      </c>
      <c r="F3"/>
      <c r="G3"/>
      <c r="H3"/>
      <c r="I3"/>
      <c r="J3"/>
      <c r="K3"/>
      <c r="L3"/>
      <c r="M3"/>
      <c r="N3"/>
    </row>
    <row r="4" spans="1:18">
      <c r="A4" s="1" t="s">
        <v>35</v>
      </c>
      <c r="B4" s="1" t="s">
        <v>128</v>
      </c>
      <c r="C4" s="1" t="s">
        <v>81</v>
      </c>
      <c r="D4" t="s">
        <v>92</v>
      </c>
      <c r="F4"/>
      <c r="G4"/>
      <c r="H4"/>
      <c r="I4"/>
      <c r="J4"/>
      <c r="K4"/>
      <c r="L4"/>
      <c r="M4"/>
      <c r="N4"/>
    </row>
    <row r="5" spans="1:18">
      <c r="A5" s="1" t="s">
        <v>34</v>
      </c>
      <c r="B5" s="1" t="s">
        <v>126</v>
      </c>
      <c r="C5" s="1" t="s">
        <v>81</v>
      </c>
      <c r="D5" t="s">
        <v>94</v>
      </c>
      <c r="F5"/>
      <c r="G5"/>
      <c r="H5"/>
      <c r="I5"/>
      <c r="J5"/>
      <c r="K5"/>
      <c r="L5"/>
      <c r="M5"/>
      <c r="N5"/>
    </row>
    <row r="6" spans="1:18">
      <c r="A6" s="1" t="s">
        <v>16</v>
      </c>
      <c r="B6" s="1" t="s">
        <v>126</v>
      </c>
      <c r="C6" s="1" t="s">
        <v>15</v>
      </c>
      <c r="D6" t="s">
        <v>95</v>
      </c>
      <c r="F6"/>
      <c r="G6"/>
      <c r="H6"/>
      <c r="I6"/>
      <c r="J6"/>
      <c r="K6"/>
      <c r="L6"/>
      <c r="M6"/>
      <c r="N6"/>
    </row>
    <row r="7" spans="1:18">
      <c r="A7" s="1" t="s">
        <v>25</v>
      </c>
      <c r="B7" s="1" t="s">
        <v>126</v>
      </c>
      <c r="C7" s="1" t="s">
        <v>12</v>
      </c>
      <c r="D7" t="s">
        <v>96</v>
      </c>
      <c r="F7"/>
      <c r="G7"/>
      <c r="H7"/>
      <c r="I7"/>
      <c r="J7"/>
      <c r="K7"/>
      <c r="L7"/>
      <c r="M7"/>
      <c r="N7"/>
    </row>
    <row r="8" spans="1:18">
      <c r="A8" s="1" t="s">
        <v>44</v>
      </c>
      <c r="B8" s="1" t="s">
        <v>126</v>
      </c>
      <c r="C8" s="1" t="s">
        <v>15</v>
      </c>
      <c r="D8" t="s">
        <v>97</v>
      </c>
      <c r="F8"/>
      <c r="G8"/>
      <c r="H8"/>
      <c r="I8"/>
      <c r="J8"/>
      <c r="K8"/>
      <c r="L8"/>
      <c r="M8"/>
      <c r="N8"/>
    </row>
    <row r="9" spans="1:18">
      <c r="A9" s="1" t="s">
        <v>26</v>
      </c>
      <c r="B9" s="1" t="s">
        <v>126</v>
      </c>
      <c r="C9" s="1" t="s">
        <v>85</v>
      </c>
      <c r="D9" t="s">
        <v>93</v>
      </c>
      <c r="F9"/>
      <c r="G9"/>
      <c r="H9"/>
      <c r="I9"/>
      <c r="J9"/>
      <c r="K9"/>
      <c r="L9"/>
      <c r="M9"/>
      <c r="N9"/>
    </row>
    <row r="10" spans="1:18">
      <c r="A10" s="1" t="s">
        <v>28</v>
      </c>
      <c r="B10" s="1" t="s">
        <v>124</v>
      </c>
      <c r="C10" s="1" t="s">
        <v>81</v>
      </c>
      <c r="D10" t="s">
        <v>90</v>
      </c>
      <c r="F10"/>
      <c r="G10"/>
      <c r="H10"/>
      <c r="I10"/>
      <c r="J10"/>
      <c r="K10"/>
      <c r="L10"/>
      <c r="M10"/>
      <c r="N10"/>
    </row>
    <row r="11" spans="1:18">
      <c r="A11" s="1" t="s">
        <v>22</v>
      </c>
      <c r="B11" s="1" t="s">
        <v>128</v>
      </c>
      <c r="C11" s="1" t="s">
        <v>81</v>
      </c>
      <c r="D11" t="s">
        <v>98</v>
      </c>
      <c r="F11"/>
      <c r="G11"/>
      <c r="H11"/>
      <c r="I11"/>
      <c r="J11"/>
      <c r="K11"/>
      <c r="L11"/>
      <c r="M11"/>
      <c r="N11"/>
    </row>
    <row r="12" spans="1:18">
      <c r="A12" s="1" t="s">
        <v>49</v>
      </c>
      <c r="B12" s="1" t="s">
        <v>124</v>
      </c>
      <c r="C12" s="1" t="s">
        <v>15</v>
      </c>
      <c r="D12" t="s">
        <v>100</v>
      </c>
      <c r="F12"/>
      <c r="G12"/>
      <c r="H12"/>
      <c r="I12"/>
      <c r="J12"/>
      <c r="K12"/>
      <c r="L12"/>
      <c r="M12"/>
      <c r="N12"/>
    </row>
    <row r="13" spans="1:18">
      <c r="A13" s="1" t="s">
        <v>40</v>
      </c>
      <c r="B13" s="1" t="s">
        <v>128</v>
      </c>
      <c r="C13" s="1" t="s">
        <v>83</v>
      </c>
      <c r="D13" t="s">
        <v>101</v>
      </c>
    </row>
    <row r="14" spans="1:18">
      <c r="A14" s="1" t="s">
        <v>42</v>
      </c>
      <c r="B14" s="1" t="s">
        <v>124</v>
      </c>
      <c r="C14" s="1" t="s">
        <v>88</v>
      </c>
      <c r="D14" t="s">
        <v>102</v>
      </c>
      <c r="F14"/>
      <c r="G14"/>
      <c r="H14"/>
      <c r="I14"/>
      <c r="J14"/>
      <c r="K14"/>
      <c r="L14"/>
      <c r="M14"/>
      <c r="N14"/>
    </row>
    <row r="15" spans="1:18">
      <c r="A15" s="1" t="s">
        <v>41</v>
      </c>
      <c r="B15" s="1" t="s">
        <v>124</v>
      </c>
      <c r="C15" s="1" t="s">
        <v>85</v>
      </c>
      <c r="D15" t="s">
        <v>103</v>
      </c>
      <c r="F15"/>
      <c r="G15"/>
      <c r="H15"/>
      <c r="I15"/>
      <c r="J15"/>
      <c r="K15"/>
      <c r="L15"/>
      <c r="M15"/>
      <c r="N15"/>
    </row>
    <row r="16" spans="1:18">
      <c r="A16" s="1" t="s">
        <v>50</v>
      </c>
      <c r="B16" s="1" t="s">
        <v>124</v>
      </c>
      <c r="C16" s="1" t="s">
        <v>88</v>
      </c>
      <c r="D16" t="s">
        <v>99</v>
      </c>
      <c r="F16"/>
      <c r="G16"/>
      <c r="H16"/>
      <c r="I16"/>
      <c r="J16"/>
      <c r="K16"/>
      <c r="L16"/>
      <c r="M16"/>
      <c r="N16"/>
    </row>
    <row r="17" spans="1:14">
      <c r="A17" s="1" t="s">
        <v>19</v>
      </c>
      <c r="B17" s="1" t="s">
        <v>124</v>
      </c>
      <c r="C17" s="1" t="s">
        <v>89</v>
      </c>
      <c r="D17" t="s">
        <v>109</v>
      </c>
      <c r="F17"/>
      <c r="G17"/>
      <c r="H17"/>
      <c r="I17"/>
      <c r="J17"/>
      <c r="K17"/>
      <c r="L17"/>
      <c r="M17"/>
      <c r="N17"/>
    </row>
    <row r="18" spans="1:14">
      <c r="A18" s="1" t="s">
        <v>23</v>
      </c>
      <c r="B18" s="1" t="s">
        <v>124</v>
      </c>
      <c r="C18" s="1" t="s">
        <v>86</v>
      </c>
      <c r="D18" t="s">
        <v>110</v>
      </c>
      <c r="F18"/>
      <c r="G18"/>
      <c r="H18"/>
      <c r="I18"/>
      <c r="J18"/>
      <c r="K18"/>
      <c r="L18"/>
      <c r="M18"/>
      <c r="N18"/>
    </row>
    <row r="19" spans="1:14">
      <c r="A19" s="1" t="s">
        <v>36</v>
      </c>
      <c r="B19" s="1" t="s">
        <v>124</v>
      </c>
      <c r="C19" s="1" t="s">
        <v>85</v>
      </c>
      <c r="D19" t="s">
        <v>105</v>
      </c>
      <c r="F19"/>
      <c r="G19"/>
      <c r="H19"/>
      <c r="I19"/>
      <c r="J19"/>
      <c r="K19"/>
      <c r="L19"/>
      <c r="M19"/>
      <c r="N19"/>
    </row>
    <row r="20" spans="1:14">
      <c r="A20" s="1" t="s">
        <v>31</v>
      </c>
      <c r="B20" s="1" t="s">
        <v>124</v>
      </c>
      <c r="C20" s="1" t="s">
        <v>12</v>
      </c>
      <c r="D20" t="s">
        <v>106</v>
      </c>
      <c r="F20"/>
      <c r="G20"/>
      <c r="H20"/>
      <c r="I20"/>
      <c r="J20"/>
      <c r="K20"/>
      <c r="L20"/>
      <c r="M20"/>
      <c r="N20"/>
    </row>
    <row r="21" spans="1:14">
      <c r="A21" s="1" t="s">
        <v>27</v>
      </c>
      <c r="B21" s="1" t="s">
        <v>124</v>
      </c>
      <c r="C21" s="1" t="s">
        <v>15</v>
      </c>
      <c r="D21" t="s">
        <v>107</v>
      </c>
      <c r="F21"/>
      <c r="G21"/>
      <c r="H21"/>
      <c r="I21"/>
      <c r="J21"/>
      <c r="K21"/>
      <c r="L21"/>
      <c r="M21"/>
      <c r="N21"/>
    </row>
    <row r="22" spans="1:14">
      <c r="A22" s="1" t="s">
        <v>18</v>
      </c>
      <c r="B22" s="1" t="s">
        <v>124</v>
      </c>
      <c r="C22" s="1" t="s">
        <v>81</v>
      </c>
      <c r="D22" t="s">
        <v>104</v>
      </c>
      <c r="F22"/>
      <c r="G22"/>
      <c r="H22"/>
      <c r="I22"/>
      <c r="J22"/>
      <c r="K22"/>
      <c r="L22"/>
      <c r="M22"/>
      <c r="N22"/>
    </row>
    <row r="23" spans="1:14">
      <c r="A23" s="1" t="s">
        <v>47</v>
      </c>
      <c r="B23" s="1" t="s">
        <v>124</v>
      </c>
      <c r="C23" s="1" t="s">
        <v>85</v>
      </c>
      <c r="D23" t="s">
        <v>108</v>
      </c>
      <c r="F23"/>
      <c r="G23"/>
      <c r="H23"/>
      <c r="I23"/>
      <c r="J23"/>
      <c r="K23"/>
      <c r="L23"/>
      <c r="M23"/>
      <c r="N23"/>
    </row>
    <row r="24" spans="1:14">
      <c r="A24" s="1" t="s">
        <v>51</v>
      </c>
      <c r="B24" s="1" t="s">
        <v>124</v>
      </c>
      <c r="C24" s="1" t="s">
        <v>81</v>
      </c>
      <c r="D24" t="s">
        <v>112</v>
      </c>
      <c r="F24"/>
      <c r="G24"/>
      <c r="H24"/>
      <c r="I24"/>
      <c r="J24"/>
      <c r="K24"/>
      <c r="L24"/>
      <c r="M24"/>
      <c r="N24"/>
    </row>
    <row r="25" spans="1:14">
      <c r="A25" s="1" t="s">
        <v>46</v>
      </c>
      <c r="B25" s="1" t="s">
        <v>124</v>
      </c>
      <c r="C25" s="1" t="s">
        <v>81</v>
      </c>
      <c r="D25" t="s">
        <v>111</v>
      </c>
      <c r="F25"/>
      <c r="G25"/>
      <c r="H25"/>
      <c r="I25"/>
      <c r="J25"/>
      <c r="K25"/>
      <c r="L25"/>
      <c r="M25"/>
      <c r="N25"/>
    </row>
    <row r="26" spans="1:14">
      <c r="A26" s="1" t="s">
        <v>33</v>
      </c>
      <c r="B26" s="1" t="s">
        <v>124</v>
      </c>
      <c r="C26" s="1" t="s">
        <v>12</v>
      </c>
      <c r="D26" t="s">
        <v>118</v>
      </c>
      <c r="F26"/>
      <c r="G26"/>
      <c r="H26"/>
      <c r="I26"/>
      <c r="J26"/>
      <c r="K26"/>
      <c r="L26"/>
      <c r="M26"/>
      <c r="N26"/>
    </row>
    <row r="27" spans="1:14">
      <c r="A27" s="1" t="s">
        <v>20</v>
      </c>
      <c r="B27" s="1" t="s">
        <v>124</v>
      </c>
      <c r="C27" s="1" t="s">
        <v>83</v>
      </c>
      <c r="D27" t="s">
        <v>113</v>
      </c>
    </row>
    <row r="28" spans="1:14">
      <c r="A28" s="1" t="s">
        <v>29</v>
      </c>
      <c r="B28" s="1" t="s">
        <v>124</v>
      </c>
      <c r="C28" s="1" t="s">
        <v>89</v>
      </c>
      <c r="D28" t="s">
        <v>114</v>
      </c>
      <c r="F28"/>
      <c r="G28"/>
      <c r="H28"/>
      <c r="I28"/>
      <c r="J28"/>
      <c r="K28"/>
      <c r="L28"/>
      <c r="M28"/>
      <c r="N28"/>
    </row>
    <row r="29" spans="1:14">
      <c r="A29" s="1" t="s">
        <v>38</v>
      </c>
      <c r="B29" s="1" t="s">
        <v>124</v>
      </c>
      <c r="C29" s="1" t="s">
        <v>12</v>
      </c>
      <c r="D29" t="s">
        <v>115</v>
      </c>
      <c r="F29"/>
      <c r="G29"/>
      <c r="H29"/>
      <c r="I29"/>
      <c r="J29"/>
      <c r="K29"/>
      <c r="L29"/>
      <c r="M29"/>
      <c r="N29"/>
    </row>
    <row r="30" spans="1:14">
      <c r="A30" s="1" t="s">
        <v>45</v>
      </c>
      <c r="B30" s="1" t="s">
        <v>124</v>
      </c>
      <c r="C30" s="1" t="s">
        <v>85</v>
      </c>
      <c r="D30" t="s">
        <v>116</v>
      </c>
      <c r="F30"/>
      <c r="G30"/>
      <c r="H30"/>
      <c r="I30"/>
      <c r="J30"/>
      <c r="K30"/>
      <c r="L30"/>
      <c r="M30"/>
      <c r="N30"/>
    </row>
    <row r="31" spans="1:14">
      <c r="A31" s="1" t="s">
        <v>37</v>
      </c>
      <c r="B31" s="1" t="s">
        <v>124</v>
      </c>
      <c r="C31" s="1" t="s">
        <v>12</v>
      </c>
      <c r="D31" t="s">
        <v>117</v>
      </c>
      <c r="F31"/>
      <c r="G31"/>
      <c r="H31"/>
      <c r="I31"/>
      <c r="J31"/>
      <c r="K31"/>
      <c r="L31"/>
      <c r="M31"/>
      <c r="N31"/>
    </row>
    <row r="32" spans="1:14">
      <c r="A32" s="1" t="s">
        <v>24</v>
      </c>
      <c r="B32" s="1" t="s">
        <v>124</v>
      </c>
      <c r="C32" s="1" t="s">
        <v>89</v>
      </c>
      <c r="D32" t="s">
        <v>119</v>
      </c>
      <c r="F32"/>
      <c r="G32"/>
      <c r="H32"/>
      <c r="I32"/>
      <c r="J32"/>
      <c r="K32"/>
      <c r="L32"/>
      <c r="M32"/>
      <c r="N32"/>
    </row>
    <row r="33" spans="1:14">
      <c r="A33" s="1" t="s">
        <v>21</v>
      </c>
      <c r="B33" s="1" t="s">
        <v>124</v>
      </c>
      <c r="C33" s="1" t="s">
        <v>83</v>
      </c>
      <c r="D33" t="s">
        <v>120</v>
      </c>
    </row>
    <row r="34" spans="1:14">
      <c r="A34" s="1" t="s">
        <v>43</v>
      </c>
      <c r="B34" s="1" t="s">
        <v>124</v>
      </c>
      <c r="C34" s="1" t="s">
        <v>89</v>
      </c>
      <c r="D34" t="s">
        <v>121</v>
      </c>
      <c r="F34"/>
      <c r="G34"/>
      <c r="H34"/>
      <c r="I34"/>
      <c r="J34"/>
      <c r="K34"/>
      <c r="L34"/>
      <c r="M34"/>
      <c r="N34"/>
    </row>
    <row r="35" spans="1:14">
      <c r="A35" s="1" t="s">
        <v>32</v>
      </c>
      <c r="B35" s="1" t="s">
        <v>124</v>
      </c>
      <c r="C35" s="1" t="s">
        <v>81</v>
      </c>
      <c r="D35" t="s">
        <v>122</v>
      </c>
      <c r="F35"/>
      <c r="G35"/>
      <c r="H35"/>
      <c r="I35"/>
      <c r="J35"/>
      <c r="K35"/>
      <c r="L35"/>
      <c r="M35"/>
      <c r="N35"/>
    </row>
    <row r="36" spans="1:14">
      <c r="A36" s="1" t="s">
        <v>30</v>
      </c>
      <c r="B36" s="1" t="s">
        <v>124</v>
      </c>
      <c r="C36" s="1" t="s">
        <v>15</v>
      </c>
      <c r="D36" t="s">
        <v>123</v>
      </c>
      <c r="F36"/>
      <c r="G36"/>
      <c r="H36"/>
      <c r="I36"/>
      <c r="J36"/>
      <c r="K36"/>
      <c r="L36"/>
      <c r="M36"/>
      <c r="N36"/>
    </row>
    <row r="37" spans="1:14">
      <c r="A37" s="1" t="s">
        <v>39</v>
      </c>
      <c r="B37" s="1" t="s">
        <v>80</v>
      </c>
      <c r="C37" s="1" t="s">
        <v>129</v>
      </c>
      <c r="D37" t="s">
        <v>154</v>
      </c>
      <c r="F37"/>
      <c r="G37"/>
      <c r="H37"/>
      <c r="I37"/>
      <c r="J37"/>
      <c r="K37"/>
      <c r="L37"/>
      <c r="M37"/>
      <c r="N37"/>
    </row>
    <row r="38" spans="1:14">
      <c r="A38" s="1" t="s">
        <v>63</v>
      </c>
      <c r="B38" s="1" t="s">
        <v>124</v>
      </c>
      <c r="C38" s="1" t="s">
        <v>86</v>
      </c>
      <c r="D38" t="s">
        <v>155</v>
      </c>
      <c r="F38"/>
      <c r="G38"/>
      <c r="H38"/>
      <c r="I38"/>
      <c r="J38"/>
      <c r="K38"/>
      <c r="L38"/>
      <c r="M38"/>
      <c r="N38"/>
    </row>
    <row r="39" spans="1:14">
      <c r="A39" s="1" t="s">
        <v>54</v>
      </c>
      <c r="B39" s="1" t="s">
        <v>124</v>
      </c>
      <c r="C39" s="1" t="s">
        <v>83</v>
      </c>
      <c r="D39" t="s">
        <v>130</v>
      </c>
    </row>
    <row r="40" spans="1:14">
      <c r="A40" s="1" t="s">
        <v>55</v>
      </c>
      <c r="B40" s="1" t="s">
        <v>124</v>
      </c>
      <c r="C40" s="1" t="s">
        <v>144</v>
      </c>
      <c r="D40" t="s">
        <v>131</v>
      </c>
      <c r="F40"/>
      <c r="G40"/>
      <c r="H40"/>
      <c r="I40"/>
      <c r="J40"/>
      <c r="K40"/>
      <c r="L40"/>
      <c r="M40"/>
      <c r="N40"/>
    </row>
    <row r="41" spans="1:14">
      <c r="A41" s="1" t="s">
        <v>56</v>
      </c>
      <c r="B41" s="1" t="s">
        <v>124</v>
      </c>
      <c r="C41" s="1" t="s">
        <v>12</v>
      </c>
      <c r="D41" t="s">
        <v>132</v>
      </c>
      <c r="F41"/>
      <c r="G41"/>
      <c r="H41"/>
      <c r="I41"/>
      <c r="J41"/>
      <c r="K41"/>
      <c r="L41"/>
      <c r="M41"/>
      <c r="N41"/>
    </row>
    <row r="42" spans="1:14">
      <c r="A42" s="1" t="s">
        <v>57</v>
      </c>
      <c r="B42" s="1" t="s">
        <v>124</v>
      </c>
      <c r="C42" s="1" t="s">
        <v>86</v>
      </c>
      <c r="D42" t="s">
        <v>133</v>
      </c>
      <c r="F42"/>
      <c r="G42"/>
      <c r="H42"/>
      <c r="I42"/>
      <c r="J42"/>
      <c r="K42"/>
      <c r="L42"/>
      <c r="M42"/>
      <c r="N42"/>
    </row>
    <row r="43" spans="1:14">
      <c r="A43" s="1" t="s">
        <v>58</v>
      </c>
      <c r="B43" s="1" t="s">
        <v>124</v>
      </c>
      <c r="C43" s="1" t="s">
        <v>15</v>
      </c>
      <c r="D43" t="s">
        <v>134</v>
      </c>
      <c r="F43"/>
      <c r="G43"/>
      <c r="H43"/>
      <c r="I43"/>
      <c r="J43"/>
      <c r="K43"/>
      <c r="L43"/>
      <c r="M43"/>
      <c r="N43"/>
    </row>
    <row r="44" spans="1:14">
      <c r="A44" s="1" t="s">
        <v>53</v>
      </c>
      <c r="B44" s="1" t="s">
        <v>124</v>
      </c>
      <c r="C44" s="1" t="s">
        <v>85</v>
      </c>
      <c r="D44" t="s">
        <v>135</v>
      </c>
      <c r="F44"/>
      <c r="G44"/>
      <c r="H44"/>
      <c r="I44"/>
      <c r="J44"/>
      <c r="K44"/>
      <c r="L44"/>
      <c r="M44"/>
      <c r="N44"/>
    </row>
    <row r="45" spans="1:14">
      <c r="A45" s="1" t="s">
        <v>59</v>
      </c>
      <c r="B45" s="1" t="s">
        <v>126</v>
      </c>
      <c r="C45" s="1" t="s">
        <v>81</v>
      </c>
      <c r="D45" t="s">
        <v>136</v>
      </c>
      <c r="F45"/>
      <c r="G45"/>
      <c r="H45"/>
      <c r="I45"/>
      <c r="J45"/>
      <c r="K45"/>
      <c r="L45"/>
      <c r="M45"/>
      <c r="N45"/>
    </row>
    <row r="46" spans="1:14">
      <c r="A46" s="1" t="s">
        <v>60</v>
      </c>
      <c r="B46" s="1" t="s">
        <v>124</v>
      </c>
      <c r="C46" s="1" t="s">
        <v>15</v>
      </c>
      <c r="D46" t="s">
        <v>137</v>
      </c>
      <c r="F46"/>
      <c r="G46"/>
      <c r="H46"/>
      <c r="I46"/>
      <c r="J46"/>
      <c r="K46"/>
      <c r="L46"/>
      <c r="M46"/>
      <c r="N46"/>
    </row>
    <row r="47" spans="1:14">
      <c r="A47" s="1" t="s">
        <v>64</v>
      </c>
      <c r="B47" s="1" t="s">
        <v>124</v>
      </c>
      <c r="C47" s="1" t="s">
        <v>81</v>
      </c>
      <c r="D47" t="s">
        <v>138</v>
      </c>
      <c r="F47"/>
      <c r="G47"/>
      <c r="H47"/>
      <c r="I47"/>
      <c r="J47"/>
      <c r="K47"/>
      <c r="L47"/>
      <c r="M47"/>
      <c r="N47"/>
    </row>
    <row r="48" spans="1:14">
      <c r="A48" s="1" t="s">
        <v>65</v>
      </c>
      <c r="B48" s="1" t="s">
        <v>124</v>
      </c>
      <c r="C48" s="1" t="s">
        <v>81</v>
      </c>
      <c r="D48" t="s">
        <v>139</v>
      </c>
      <c r="F48"/>
      <c r="G48"/>
      <c r="H48"/>
      <c r="I48"/>
      <c r="J48"/>
      <c r="K48"/>
      <c r="L48"/>
      <c r="M48"/>
      <c r="N48"/>
    </row>
    <row r="49" spans="1:14">
      <c r="A49" s="1" t="s">
        <v>52</v>
      </c>
      <c r="B49" s="1" t="s">
        <v>128</v>
      </c>
      <c r="C49" s="1" t="s">
        <v>89</v>
      </c>
      <c r="D49" t="s">
        <v>140</v>
      </c>
      <c r="F49"/>
      <c r="G49"/>
      <c r="H49"/>
      <c r="I49"/>
      <c r="J49"/>
      <c r="K49"/>
      <c r="L49"/>
      <c r="M49"/>
      <c r="N49"/>
    </row>
    <row r="50" spans="1:14">
      <c r="A50" s="1" t="s">
        <v>66</v>
      </c>
      <c r="B50" s="1" t="s">
        <v>124</v>
      </c>
      <c r="C50" s="1" t="s">
        <v>81</v>
      </c>
      <c r="D50" t="s">
        <v>141</v>
      </c>
      <c r="F50"/>
      <c r="G50"/>
      <c r="H50"/>
      <c r="I50"/>
      <c r="J50"/>
      <c r="K50"/>
      <c r="L50"/>
      <c r="M50"/>
      <c r="N50"/>
    </row>
    <row r="51" spans="1:14">
      <c r="A51" s="1" t="s">
        <v>67</v>
      </c>
      <c r="B51" s="1" t="s">
        <v>124</v>
      </c>
      <c r="C51" s="1" t="s">
        <v>87</v>
      </c>
      <c r="D51" t="s">
        <v>142</v>
      </c>
      <c r="F51"/>
      <c r="G51"/>
      <c r="H51"/>
      <c r="I51"/>
      <c r="J51"/>
      <c r="K51"/>
      <c r="L51"/>
      <c r="M51"/>
      <c r="N51"/>
    </row>
    <row r="52" spans="1:14">
      <c r="A52" s="1" t="s">
        <v>68</v>
      </c>
      <c r="B52" s="1" t="s">
        <v>126</v>
      </c>
      <c r="C52" s="1" t="s">
        <v>15</v>
      </c>
      <c r="D52" t="s">
        <v>143</v>
      </c>
      <c r="F52"/>
      <c r="G52"/>
      <c r="H52"/>
      <c r="I52"/>
      <c r="J52"/>
      <c r="K52"/>
      <c r="L52"/>
      <c r="M52"/>
      <c r="N52"/>
    </row>
    <row r="53" spans="1:14">
      <c r="A53" s="1" t="s">
        <v>69</v>
      </c>
      <c r="B53" s="1" t="s">
        <v>124</v>
      </c>
      <c r="C53" s="1" t="s">
        <v>89</v>
      </c>
      <c r="D53" t="s">
        <v>146</v>
      </c>
    </row>
    <row r="54" spans="1:14">
      <c r="A54" s="1" t="s">
        <v>70</v>
      </c>
      <c r="B54" s="1" t="s">
        <v>124</v>
      </c>
      <c r="C54" s="1" t="s">
        <v>86</v>
      </c>
      <c r="D54" t="s">
        <v>156</v>
      </c>
    </row>
    <row r="55" spans="1:14">
      <c r="A55" s="1" t="s">
        <v>72</v>
      </c>
      <c r="B55" s="1" t="s">
        <v>124</v>
      </c>
      <c r="C55" s="1" t="s">
        <v>89</v>
      </c>
      <c r="D55" t="s">
        <v>147</v>
      </c>
    </row>
    <row r="56" spans="1:14">
      <c r="A56" s="1" t="s">
        <v>73</v>
      </c>
      <c r="B56" s="1" t="s">
        <v>124</v>
      </c>
      <c r="C56" s="1" t="s">
        <v>89</v>
      </c>
      <c r="D56" t="s">
        <v>148</v>
      </c>
    </row>
    <row r="57" spans="1:14">
      <c r="A57" s="1" t="s">
        <v>75</v>
      </c>
      <c r="B57" s="1" t="s">
        <v>124</v>
      </c>
      <c r="C57" s="1" t="s">
        <v>12</v>
      </c>
      <c r="D57" t="s">
        <v>149</v>
      </c>
    </row>
    <row r="58" spans="1:14">
      <c r="A58" s="1" t="s">
        <v>36</v>
      </c>
      <c r="B58" s="1" t="s">
        <v>128</v>
      </c>
      <c r="C58" s="1" t="s">
        <v>85</v>
      </c>
      <c r="D58" t="s">
        <v>105</v>
      </c>
    </row>
    <row r="59" spans="1:14">
      <c r="A59" s="1" t="s">
        <v>49</v>
      </c>
      <c r="B59" s="1" t="s">
        <v>124</v>
      </c>
      <c r="C59" s="1" t="s">
        <v>15</v>
      </c>
      <c r="D59" t="s">
        <v>100</v>
      </c>
    </row>
    <row r="60" spans="1:14">
      <c r="A60" s="1" t="s">
        <v>79</v>
      </c>
      <c r="B60" s="1" t="s">
        <v>128</v>
      </c>
      <c r="C60" s="1" t="s">
        <v>129</v>
      </c>
    </row>
    <row r="61" spans="1:14">
      <c r="A61" s="1" t="s">
        <v>74</v>
      </c>
      <c r="B61" s="1" t="s">
        <v>124</v>
      </c>
      <c r="C61" s="1" t="s">
        <v>85</v>
      </c>
      <c r="D61" t="s">
        <v>150</v>
      </c>
    </row>
    <row r="62" spans="1:14">
      <c r="A62" s="1" t="s">
        <v>78</v>
      </c>
      <c r="B62" s="1" t="s">
        <v>124</v>
      </c>
      <c r="C62" s="1" t="s">
        <v>153</v>
      </c>
      <c r="D62" t="s">
        <v>151</v>
      </c>
    </row>
    <row r="63" spans="1:14">
      <c r="A63" s="1" t="s">
        <v>71</v>
      </c>
      <c r="B63" s="1" t="s">
        <v>124</v>
      </c>
      <c r="C63" s="1" t="s">
        <v>89</v>
      </c>
      <c r="D63" t="s">
        <v>152</v>
      </c>
    </row>
    <row r="64" spans="1:14">
      <c r="A64" s="1" t="s">
        <v>76</v>
      </c>
      <c r="B64" s="1" t="s">
        <v>128</v>
      </c>
      <c r="C64" s="1" t="s">
        <v>15</v>
      </c>
      <c r="D64" t="s">
        <v>157</v>
      </c>
    </row>
    <row r="65" spans="1:4">
      <c r="A65" s="1" t="s">
        <v>77</v>
      </c>
      <c r="B65" s="1" t="s">
        <v>124</v>
      </c>
      <c r="C65" s="1" t="s">
        <v>11</v>
      </c>
      <c r="D65" t="s">
        <v>158</v>
      </c>
    </row>
    <row r="66" spans="1:4">
      <c r="A66" s="1" t="s">
        <v>61</v>
      </c>
      <c r="B66" s="1" t="s">
        <v>127</v>
      </c>
      <c r="C66" s="1" t="s">
        <v>12</v>
      </c>
      <c r="D66" t="s">
        <v>159</v>
      </c>
    </row>
    <row r="67" spans="1:4">
      <c r="A67" s="1" t="s">
        <v>62</v>
      </c>
      <c r="B67" s="1" t="s">
        <v>124</v>
      </c>
      <c r="C67" s="1" t="s">
        <v>12</v>
      </c>
      <c r="D67" t="s">
        <v>160</v>
      </c>
    </row>
    <row r="68" spans="1:4">
      <c r="A68" s="1" t="s">
        <v>161</v>
      </c>
      <c r="B68" s="1" t="s">
        <v>126</v>
      </c>
      <c r="C68" s="1" t="s">
        <v>12</v>
      </c>
      <c r="D68" t="e">
        <f>VLOOKUP(A68,[2]色碼對照!$G:$I,3,0)</f>
        <v>#N/A</v>
      </c>
    </row>
    <row r="69" spans="1:4">
      <c r="A69" s="1" t="s">
        <v>162</v>
      </c>
      <c r="B69" s="1" t="s">
        <v>164</v>
      </c>
      <c r="C69" s="1" t="s">
        <v>85</v>
      </c>
      <c r="D69" t="e">
        <f>VLOOKUP(A69,[2]色碼對照!$G:$I,3,0)</f>
        <v>#N/A</v>
      </c>
    </row>
    <row r="70" spans="1:4">
      <c r="A70" s="1" t="s">
        <v>163</v>
      </c>
      <c r="B70" s="1" t="s">
        <v>124</v>
      </c>
      <c r="C70" s="1" t="s">
        <v>85</v>
      </c>
      <c r="D70" t="e">
        <f>VLOOKUP(A70,[2]色碼對照!$G:$I,3,0)</f>
        <v>#N/A</v>
      </c>
    </row>
    <row r="71" spans="1:4">
      <c r="A71" s="1" t="s">
        <v>165</v>
      </c>
      <c r="B71" s="1" t="s">
        <v>128</v>
      </c>
      <c r="C71" s="2" t="s">
        <v>15</v>
      </c>
      <c r="D71" t="e">
        <f>VLOOKUP(A71,[2]色碼對照!$G:$I,3,0)</f>
        <v>#N/A</v>
      </c>
    </row>
    <row r="72" spans="1:4">
      <c r="A72" s="1" t="s">
        <v>167</v>
      </c>
      <c r="B72" s="1" t="s">
        <v>124</v>
      </c>
      <c r="C72" s="1" t="s">
        <v>14</v>
      </c>
      <c r="D72" t="e">
        <f>VLOOKUP(A72,[2]色碼對照!$G:$I,3,0)</f>
        <v>#N/A</v>
      </c>
    </row>
    <row r="73" spans="1:4">
      <c r="A73" s="1" t="s">
        <v>168</v>
      </c>
      <c r="B73" s="1" t="s">
        <v>124</v>
      </c>
      <c r="C73" s="1" t="s">
        <v>14</v>
      </c>
      <c r="D73" t="e">
        <f>VLOOKUP(A73,[2]色碼對照!$G:$I,3,0)</f>
        <v>#N/A</v>
      </c>
    </row>
    <row r="74" spans="1:4">
      <c r="A74" s="2" t="s">
        <v>169</v>
      </c>
      <c r="B74" s="1" t="s">
        <v>124</v>
      </c>
      <c r="C74" s="1" t="s">
        <v>89</v>
      </c>
      <c r="D74" t="e">
        <f>VLOOKUP(A74,[2]色碼對照!$G:$I,3,0)</f>
        <v>#N/A</v>
      </c>
    </row>
    <row r="75" spans="1:4">
      <c r="A75" s="2" t="s">
        <v>172</v>
      </c>
      <c r="B75" s="1" t="s">
        <v>124</v>
      </c>
      <c r="C75" s="1" t="s">
        <v>13</v>
      </c>
    </row>
    <row r="76" spans="1:4">
      <c r="A76" s="2" t="s">
        <v>173</v>
      </c>
      <c r="B76" s="1" t="s">
        <v>128</v>
      </c>
      <c r="C76" s="1" t="s">
        <v>85</v>
      </c>
    </row>
    <row r="77" spans="1:4">
      <c r="A77" t="s">
        <v>174</v>
      </c>
      <c r="B77" s="1" t="s">
        <v>128</v>
      </c>
      <c r="C77" s="1" t="s">
        <v>12</v>
      </c>
    </row>
    <row r="78" spans="1:4">
      <c r="A78" s="1" t="s">
        <v>175</v>
      </c>
      <c r="B78" s="1" t="s">
        <v>124</v>
      </c>
      <c r="C78" s="1" t="s">
        <v>89</v>
      </c>
    </row>
    <row r="79" spans="1:4">
      <c r="A79" s="1" t="s">
        <v>176</v>
      </c>
      <c r="B79" s="1" t="s">
        <v>124</v>
      </c>
      <c r="C79" s="1" t="s">
        <v>85</v>
      </c>
    </row>
    <row r="80" spans="1:4">
      <c r="A80" s="1" t="s">
        <v>177</v>
      </c>
      <c r="B80" s="1" t="s">
        <v>124</v>
      </c>
      <c r="C80" s="1" t="s">
        <v>15</v>
      </c>
    </row>
    <row r="81" spans="1:3">
      <c r="A81" s="1" t="s">
        <v>178</v>
      </c>
      <c r="B81" s="1" t="s">
        <v>124</v>
      </c>
      <c r="C81" s="2" t="s">
        <v>82</v>
      </c>
    </row>
    <row r="82" spans="1:3">
      <c r="A82" s="1" t="s">
        <v>179</v>
      </c>
      <c r="B82" s="1" t="s">
        <v>124</v>
      </c>
      <c r="C82" s="1" t="s">
        <v>84</v>
      </c>
    </row>
    <row r="83" spans="1:3">
      <c r="A83" s="1" t="s">
        <v>166</v>
      </c>
      <c r="B83" s="1" t="s">
        <v>124</v>
      </c>
      <c r="C83" s="1" t="s">
        <v>82</v>
      </c>
    </row>
    <row r="84" spans="1:3">
      <c r="A84" s="1" t="s">
        <v>180</v>
      </c>
      <c r="B84" s="1" t="s">
        <v>124</v>
      </c>
      <c r="C84" s="1" t="s">
        <v>11</v>
      </c>
    </row>
    <row r="85" spans="1:3">
      <c r="A85" s="1" t="s">
        <v>181</v>
      </c>
      <c r="B85" s="1" t="s">
        <v>124</v>
      </c>
      <c r="C85" s="1" t="s">
        <v>82</v>
      </c>
    </row>
    <row r="86" spans="1:3">
      <c r="A86" s="1" t="s">
        <v>182</v>
      </c>
      <c r="B86" s="1" t="s">
        <v>124</v>
      </c>
      <c r="C86" s="1" t="s">
        <v>84</v>
      </c>
    </row>
    <row r="87" spans="1:3">
      <c r="A87" s="1" t="s">
        <v>183</v>
      </c>
      <c r="B87" s="1" t="s">
        <v>124</v>
      </c>
      <c r="C87" s="1" t="s">
        <v>84</v>
      </c>
    </row>
    <row r="88" spans="1:3">
      <c r="A88" s="1" t="s">
        <v>184</v>
      </c>
      <c r="B88" s="1" t="s">
        <v>124</v>
      </c>
      <c r="C88" s="1" t="s">
        <v>12</v>
      </c>
    </row>
    <row r="89" spans="1:3">
      <c r="A89" s="1" t="s">
        <v>185</v>
      </c>
      <c r="B89" s="1" t="s">
        <v>124</v>
      </c>
      <c r="C89" s="1" t="s">
        <v>15</v>
      </c>
    </row>
    <row r="90" spans="1:3">
      <c r="A90" s="1" t="s">
        <v>186</v>
      </c>
      <c r="B90" s="1" t="s">
        <v>124</v>
      </c>
      <c r="C90" s="1" t="s">
        <v>12</v>
      </c>
    </row>
    <row r="91" spans="1:3">
      <c r="A91" s="1" t="s">
        <v>187</v>
      </c>
      <c r="B91" s="1" t="s">
        <v>124</v>
      </c>
      <c r="C91" s="1" t="s">
        <v>87</v>
      </c>
    </row>
    <row r="92" spans="1:3">
      <c r="A92" s="1" t="s">
        <v>188</v>
      </c>
      <c r="B92" s="1" t="s">
        <v>124</v>
      </c>
      <c r="C92" s="1" t="s">
        <v>12</v>
      </c>
    </row>
    <row r="93" spans="1:3">
      <c r="A93" s="1" t="s">
        <v>189</v>
      </c>
      <c r="B93" s="1" t="s">
        <v>128</v>
      </c>
      <c r="C93" s="1" t="s">
        <v>12</v>
      </c>
    </row>
    <row r="94" spans="1:3">
      <c r="A94" s="1" t="s">
        <v>190</v>
      </c>
      <c r="B94" s="1" t="s">
        <v>128</v>
      </c>
      <c r="C94" s="1" t="s">
        <v>12</v>
      </c>
    </row>
    <row r="95" spans="1:3">
      <c r="A95" s="1" t="s">
        <v>191</v>
      </c>
      <c r="B95" s="1" t="s">
        <v>124</v>
      </c>
      <c r="C95" s="1" t="s">
        <v>82</v>
      </c>
    </row>
    <row r="96" spans="1:3">
      <c r="A96" s="1" t="s">
        <v>192</v>
      </c>
      <c r="B96" s="1" t="s">
        <v>124</v>
      </c>
      <c r="C96" s="1" t="s">
        <v>12</v>
      </c>
    </row>
    <row r="97" spans="1:3">
      <c r="A97" s="1" t="s">
        <v>193</v>
      </c>
      <c r="B97" s="1" t="s">
        <v>126</v>
      </c>
      <c r="C97" s="1" t="s">
        <v>15</v>
      </c>
    </row>
    <row r="98" spans="1:3">
      <c r="A98" s="1" t="s">
        <v>194</v>
      </c>
      <c r="B98" s="1" t="s">
        <v>128</v>
      </c>
      <c r="C98" s="1" t="s">
        <v>195</v>
      </c>
    </row>
    <row r="99" spans="1:3">
      <c r="A99" s="1" t="s">
        <v>196</v>
      </c>
      <c r="B99" s="1" t="s">
        <v>124</v>
      </c>
      <c r="C99" s="1" t="s">
        <v>82</v>
      </c>
    </row>
    <row r="100" spans="1:3">
      <c r="A100" s="1" t="s">
        <v>70</v>
      </c>
      <c r="B100" s="1" t="s">
        <v>124</v>
      </c>
      <c r="C100" s="1" t="s">
        <v>13</v>
      </c>
    </row>
    <row r="101" spans="1:3">
      <c r="A101" s="1" t="s">
        <v>197</v>
      </c>
      <c r="B101" s="1" t="s">
        <v>126</v>
      </c>
      <c r="C101" s="1" t="s">
        <v>84</v>
      </c>
    </row>
    <row r="102" spans="1:3">
      <c r="A102" s="1" t="s">
        <v>198</v>
      </c>
      <c r="B102" s="1" t="s">
        <v>126</v>
      </c>
      <c r="C102" s="1" t="s">
        <v>82</v>
      </c>
    </row>
    <row r="103" spans="1:3">
      <c r="A103" s="1" t="s">
        <v>199</v>
      </c>
      <c r="B103" s="1" t="s">
        <v>124</v>
      </c>
      <c r="C103" s="1" t="s">
        <v>82</v>
      </c>
    </row>
    <row r="104" spans="1:3">
      <c r="A104" s="1" t="s">
        <v>200</v>
      </c>
      <c r="B104" s="1" t="s">
        <v>128</v>
      </c>
      <c r="C104" s="1" t="s">
        <v>11</v>
      </c>
    </row>
    <row r="105" spans="1:3">
      <c r="A105" s="1" t="s">
        <v>201</v>
      </c>
      <c r="B105" s="1" t="s">
        <v>124</v>
      </c>
      <c r="C105" s="1" t="s">
        <v>202</v>
      </c>
    </row>
    <row r="106" spans="1:3">
      <c r="A106" s="1" t="s">
        <v>204</v>
      </c>
      <c r="B106" s="1" t="s">
        <v>124</v>
      </c>
      <c r="C106" s="1" t="s">
        <v>82</v>
      </c>
    </row>
    <row r="107" spans="1:3">
      <c r="A107" s="1" t="s">
        <v>205</v>
      </c>
      <c r="B107" s="1" t="s">
        <v>126</v>
      </c>
      <c r="C107" s="1" t="s">
        <v>84</v>
      </c>
    </row>
    <row r="108" spans="1:3">
      <c r="A108" s="1" t="s">
        <v>206</v>
      </c>
      <c r="B108" s="1" t="s">
        <v>209</v>
      </c>
      <c r="C108" s="1" t="s">
        <v>82</v>
      </c>
    </row>
    <row r="109" spans="1:3">
      <c r="A109" s="1" t="s">
        <v>207</v>
      </c>
      <c r="B109" s="1" t="s">
        <v>124</v>
      </c>
      <c r="C109" s="2" t="s">
        <v>89</v>
      </c>
    </row>
    <row r="110" spans="1:3">
      <c r="A110" s="1" t="s">
        <v>208</v>
      </c>
      <c r="B110" s="1" t="s">
        <v>124</v>
      </c>
      <c r="C110" s="2" t="s">
        <v>89</v>
      </c>
    </row>
    <row r="111" spans="1:3">
      <c r="A111" s="1" t="s">
        <v>210</v>
      </c>
      <c r="B111" s="1" t="s">
        <v>124</v>
      </c>
      <c r="C111" s="1" t="s">
        <v>87</v>
      </c>
    </row>
    <row r="112" spans="1:3">
      <c r="A112" s="1" t="s">
        <v>211</v>
      </c>
      <c r="B112" s="1" t="s">
        <v>124</v>
      </c>
      <c r="C112" s="1" t="s">
        <v>12</v>
      </c>
    </row>
    <row r="113" spans="1:3">
      <c r="A113" s="1" t="s">
        <v>212</v>
      </c>
      <c r="B113" s="1" t="s">
        <v>124</v>
      </c>
      <c r="C113" s="1" t="s">
        <v>12</v>
      </c>
    </row>
    <row r="114" spans="1:3">
      <c r="A114" s="1" t="s">
        <v>213</v>
      </c>
      <c r="B114" s="1" t="s">
        <v>124</v>
      </c>
      <c r="C114" s="1" t="s">
        <v>84</v>
      </c>
    </row>
    <row r="115" spans="1:3">
      <c r="A115" s="1" t="s">
        <v>214</v>
      </c>
      <c r="B115" s="1" t="s">
        <v>124</v>
      </c>
      <c r="C115" s="2" t="s">
        <v>11</v>
      </c>
    </row>
    <row r="116" spans="1:3">
      <c r="A116" s="1" t="s">
        <v>215</v>
      </c>
      <c r="B116" s="1" t="s">
        <v>128</v>
      </c>
      <c r="C116" s="2" t="s">
        <v>11</v>
      </c>
    </row>
    <row r="117" spans="1:3">
      <c r="A117" s="1" t="s">
        <v>216</v>
      </c>
      <c r="B117" s="1" t="s">
        <v>128</v>
      </c>
      <c r="C117" s="2" t="s">
        <v>89</v>
      </c>
    </row>
    <row r="118" spans="1:3">
      <c r="A118" s="1" t="s">
        <v>217</v>
      </c>
      <c r="B118" s="1" t="s">
        <v>124</v>
      </c>
      <c r="C118" s="2" t="s">
        <v>89</v>
      </c>
    </row>
    <row r="119" spans="1:3">
      <c r="A119" s="1" t="s">
        <v>218</v>
      </c>
      <c r="B119" s="1" t="s">
        <v>124</v>
      </c>
      <c r="C119" s="2" t="s">
        <v>89</v>
      </c>
    </row>
    <row r="120" spans="1:3">
      <c r="A120" s="1" t="s">
        <v>219</v>
      </c>
      <c r="B120" s="1" t="s">
        <v>124</v>
      </c>
      <c r="C120" s="2" t="s">
        <v>12</v>
      </c>
    </row>
    <row r="121" spans="1:3">
      <c r="A121" s="1" t="s">
        <v>220</v>
      </c>
      <c r="B121" s="1" t="s">
        <v>124</v>
      </c>
      <c r="C121" s="1" t="s">
        <v>12</v>
      </c>
    </row>
    <row r="122" spans="1:3">
      <c r="A122" s="1" t="s">
        <v>221</v>
      </c>
      <c r="B122" s="1" t="s">
        <v>126</v>
      </c>
      <c r="C122" s="1" t="s">
        <v>84</v>
      </c>
    </row>
    <row r="123" spans="1:3">
      <c r="A123" s="1" t="s">
        <v>222</v>
      </c>
      <c r="B123" s="1" t="s">
        <v>128</v>
      </c>
      <c r="C123" s="1" t="s">
        <v>13</v>
      </c>
    </row>
    <row r="124" spans="1:3">
      <c r="A124" s="1" t="s">
        <v>223</v>
      </c>
      <c r="B124" s="1" t="s">
        <v>128</v>
      </c>
      <c r="C124" s="1" t="s">
        <v>224</v>
      </c>
    </row>
    <row r="125" spans="1:3">
      <c r="A125" s="1" t="s">
        <v>225</v>
      </c>
      <c r="B125" s="1" t="s">
        <v>124</v>
      </c>
      <c r="C125" s="1" t="s">
        <v>82</v>
      </c>
    </row>
    <row r="126" spans="1:3">
      <c r="A126" s="1" t="s">
        <v>226</v>
      </c>
      <c r="B126" s="1" t="s">
        <v>124</v>
      </c>
      <c r="C126" s="1" t="s">
        <v>84</v>
      </c>
    </row>
    <row r="127" spans="1:3">
      <c r="A127" s="1" t="s">
        <v>227</v>
      </c>
      <c r="B127" s="1" t="s">
        <v>124</v>
      </c>
      <c r="C127" s="1" t="s">
        <v>82</v>
      </c>
    </row>
    <row r="128" spans="1:3">
      <c r="A128" s="1" t="s">
        <v>228</v>
      </c>
      <c r="B128" s="1" t="s">
        <v>124</v>
      </c>
      <c r="C128" s="1" t="s">
        <v>12</v>
      </c>
    </row>
    <row r="129" spans="1:3">
      <c r="A129" s="1" t="s">
        <v>229</v>
      </c>
      <c r="B129" s="1" t="s">
        <v>128</v>
      </c>
      <c r="C129" s="1" t="s">
        <v>84</v>
      </c>
    </row>
    <row r="130" spans="1:3">
      <c r="A130" s="1" t="s">
        <v>230</v>
      </c>
      <c r="B130" s="1" t="s">
        <v>124</v>
      </c>
      <c r="C130" s="1" t="s">
        <v>12</v>
      </c>
    </row>
    <row r="131" spans="1:3">
      <c r="A131" s="1" t="s">
        <v>231</v>
      </c>
      <c r="B131" s="1" t="s">
        <v>124</v>
      </c>
      <c r="C131" s="2" t="s">
        <v>11</v>
      </c>
    </row>
    <row r="132" spans="1:3">
      <c r="A132" s="1" t="s">
        <v>232</v>
      </c>
      <c r="B132" s="1" t="s">
        <v>124</v>
      </c>
      <c r="C132" s="1" t="s">
        <v>82</v>
      </c>
    </row>
    <row r="133" spans="1:3">
      <c r="A133" s="1" t="s">
        <v>233</v>
      </c>
      <c r="B133" s="1" t="s">
        <v>124</v>
      </c>
      <c r="C133" s="1" t="s">
        <v>82</v>
      </c>
    </row>
    <row r="134" spans="1:3">
      <c r="A134" s="1" t="s">
        <v>234</v>
      </c>
      <c r="B134" s="1" t="s">
        <v>124</v>
      </c>
      <c r="C134" s="1" t="s">
        <v>12</v>
      </c>
    </row>
    <row r="135" spans="1:3">
      <c r="A135" s="1" t="s">
        <v>235</v>
      </c>
      <c r="B135" s="1" t="s">
        <v>124</v>
      </c>
      <c r="C135" s="1" t="s">
        <v>12</v>
      </c>
    </row>
    <row r="136" spans="1:3">
      <c r="A136" s="1" t="s">
        <v>236</v>
      </c>
      <c r="B136" s="1" t="s">
        <v>126</v>
      </c>
      <c r="C136" s="1" t="s">
        <v>12</v>
      </c>
    </row>
    <row r="137" spans="1:3">
      <c r="A137" s="1" t="s">
        <v>237</v>
      </c>
      <c r="B137" s="1" t="s">
        <v>126</v>
      </c>
      <c r="C137" s="1" t="s">
        <v>12</v>
      </c>
    </row>
    <row r="138" spans="1:3">
      <c r="A138" s="1" t="s">
        <v>238</v>
      </c>
      <c r="B138" s="1" t="s">
        <v>128</v>
      </c>
      <c r="C138" s="1" t="s">
        <v>84</v>
      </c>
    </row>
    <row r="139" spans="1:3">
      <c r="A139" s="1" t="s">
        <v>239</v>
      </c>
      <c r="B139" s="1" t="s">
        <v>126</v>
      </c>
      <c r="C139" s="2" t="s">
        <v>11</v>
      </c>
    </row>
    <row r="140" spans="1:3">
      <c r="A140" s="1" t="s">
        <v>240</v>
      </c>
      <c r="B140" s="1" t="s">
        <v>124</v>
      </c>
      <c r="C140" s="1" t="s">
        <v>84</v>
      </c>
    </row>
    <row r="141" spans="1:3">
      <c r="A141" s="1" t="s">
        <v>241</v>
      </c>
      <c r="B141" s="1" t="s">
        <v>128</v>
      </c>
      <c r="C141" s="1" t="s">
        <v>82</v>
      </c>
    </row>
    <row r="142" spans="1:3">
      <c r="A142" s="1" t="s">
        <v>242</v>
      </c>
      <c r="B142" s="1" t="s">
        <v>126</v>
      </c>
      <c r="C142" s="1" t="s">
        <v>472</v>
      </c>
    </row>
    <row r="143" spans="1:3">
      <c r="A143" s="1" t="s">
        <v>243</v>
      </c>
      <c r="B143" s="1" t="s">
        <v>124</v>
      </c>
      <c r="C143" s="1" t="s">
        <v>84</v>
      </c>
    </row>
    <row r="144" spans="1:3">
      <c r="A144" s="1" t="s">
        <v>244</v>
      </c>
      <c r="B144" s="1" t="s">
        <v>126</v>
      </c>
      <c r="C144" s="2" t="s">
        <v>88</v>
      </c>
    </row>
    <row r="145" spans="1:3">
      <c r="A145" s="1" t="s">
        <v>245</v>
      </c>
      <c r="B145" s="1" t="s">
        <v>126</v>
      </c>
      <c r="C145" s="2" t="s">
        <v>11</v>
      </c>
    </row>
    <row r="146" spans="1:3">
      <c r="A146" s="1" t="s">
        <v>246</v>
      </c>
      <c r="B146" s="1" t="s">
        <v>124</v>
      </c>
      <c r="C146" s="1" t="s">
        <v>248</v>
      </c>
    </row>
    <row r="147" spans="1:3">
      <c r="A147" s="1" t="s">
        <v>247</v>
      </c>
      <c r="B147" s="1" t="s">
        <v>124</v>
      </c>
      <c r="C147" s="1" t="s">
        <v>82</v>
      </c>
    </row>
    <row r="148" spans="1:3">
      <c r="A148" s="1" t="s">
        <v>249</v>
      </c>
      <c r="B148" s="1" t="s">
        <v>124</v>
      </c>
      <c r="C148" s="1" t="s">
        <v>84</v>
      </c>
    </row>
    <row r="149" spans="1:3">
      <c r="A149" s="1" t="s">
        <v>250</v>
      </c>
      <c r="B149" s="1" t="s">
        <v>126</v>
      </c>
      <c r="C149" s="1" t="s">
        <v>252</v>
      </c>
    </row>
    <row r="150" spans="1:3">
      <c r="A150" s="1" t="s">
        <v>251</v>
      </c>
      <c r="B150" s="1" t="s">
        <v>253</v>
      </c>
      <c r="C150" s="1" t="s">
        <v>254</v>
      </c>
    </row>
    <row r="151" spans="1:3">
      <c r="A151" s="1" t="s">
        <v>255</v>
      </c>
      <c r="B151" s="1" t="s">
        <v>124</v>
      </c>
      <c r="C151" s="1" t="s">
        <v>12</v>
      </c>
    </row>
    <row r="152" spans="1:3">
      <c r="A152" s="1" t="s">
        <v>256</v>
      </c>
      <c r="B152" s="1" t="s">
        <v>126</v>
      </c>
      <c r="C152" s="1" t="s">
        <v>82</v>
      </c>
    </row>
    <row r="153" spans="1:3">
      <c r="A153" s="1" t="s">
        <v>257</v>
      </c>
      <c r="B153" s="1" t="s">
        <v>124</v>
      </c>
      <c r="C153" s="2" t="s">
        <v>15</v>
      </c>
    </row>
    <row r="154" spans="1:3">
      <c r="A154" s="1" t="s">
        <v>258</v>
      </c>
      <c r="B154" s="1" t="s">
        <v>128</v>
      </c>
      <c r="C154" s="2" t="s">
        <v>89</v>
      </c>
    </row>
    <row r="155" spans="1:3">
      <c r="A155" s="1" t="s">
        <v>259</v>
      </c>
      <c r="B155" s="1" t="s">
        <v>124</v>
      </c>
      <c r="C155" s="1" t="s">
        <v>84</v>
      </c>
    </row>
    <row r="156" spans="1:3">
      <c r="A156" s="1" t="s">
        <v>260</v>
      </c>
      <c r="B156" s="1" t="s">
        <v>124</v>
      </c>
      <c r="C156" s="2" t="s">
        <v>145</v>
      </c>
    </row>
    <row r="157" spans="1:3">
      <c r="A157" s="1" t="s">
        <v>261</v>
      </c>
      <c r="B157" s="1" t="s">
        <v>124</v>
      </c>
      <c r="C157" s="2" t="s">
        <v>15</v>
      </c>
    </row>
    <row r="158" spans="1:3">
      <c r="A158" s="1" t="s">
        <v>262</v>
      </c>
      <c r="B158" s="1" t="s">
        <v>128</v>
      </c>
      <c r="C158" s="1" t="s">
        <v>82</v>
      </c>
    </row>
    <row r="159" spans="1:3">
      <c r="A159" s="1" t="s">
        <v>263</v>
      </c>
      <c r="B159" s="1" t="s">
        <v>128</v>
      </c>
      <c r="C159" s="2" t="s">
        <v>15</v>
      </c>
    </row>
    <row r="160" spans="1:3">
      <c r="A160" s="1" t="s">
        <v>264</v>
      </c>
      <c r="B160" s="1" t="s">
        <v>126</v>
      </c>
      <c r="C160" s="1" t="s">
        <v>84</v>
      </c>
    </row>
    <row r="161" spans="1:3">
      <c r="A161" s="1" t="s">
        <v>265</v>
      </c>
      <c r="B161" s="1" t="s">
        <v>124</v>
      </c>
      <c r="C161" s="1" t="s">
        <v>84</v>
      </c>
    </row>
    <row r="162" spans="1:3">
      <c r="A162" s="1" t="s">
        <v>267</v>
      </c>
      <c r="B162" s="1" t="s">
        <v>124</v>
      </c>
      <c r="C162" s="2" t="s">
        <v>268</v>
      </c>
    </row>
    <row r="163" spans="1:3">
      <c r="A163" s="1" t="s">
        <v>269</v>
      </c>
      <c r="B163" s="1" t="s">
        <v>270</v>
      </c>
      <c r="C163" s="1" t="s">
        <v>271</v>
      </c>
    </row>
    <row r="164" spans="1:3">
      <c r="A164" s="1" t="s">
        <v>272</v>
      </c>
      <c r="B164" s="1" t="s">
        <v>124</v>
      </c>
      <c r="C164" s="1" t="s">
        <v>81</v>
      </c>
    </row>
    <row r="165" spans="1:3">
      <c r="A165" s="1" t="s">
        <v>273</v>
      </c>
      <c r="B165" s="1" t="s">
        <v>253</v>
      </c>
      <c r="C165" s="1" t="s">
        <v>81</v>
      </c>
    </row>
    <row r="166" spans="1:3">
      <c r="A166" s="1" t="s">
        <v>274</v>
      </c>
      <c r="B166" s="1" t="s">
        <v>124</v>
      </c>
      <c r="C166" s="1" t="s">
        <v>82</v>
      </c>
    </row>
    <row r="167" spans="1:3">
      <c r="A167" s="1" t="s">
        <v>275</v>
      </c>
      <c r="B167" s="1" t="s">
        <v>124</v>
      </c>
      <c r="C167" s="2" t="s">
        <v>89</v>
      </c>
    </row>
    <row r="168" spans="1:3">
      <c r="A168" s="1" t="s">
        <v>276</v>
      </c>
      <c r="B168" s="1" t="s">
        <v>124</v>
      </c>
      <c r="C168" s="2" t="s">
        <v>89</v>
      </c>
    </row>
    <row r="169" spans="1:3">
      <c r="A169" s="1" t="s">
        <v>277</v>
      </c>
      <c r="B169" s="1" t="s">
        <v>253</v>
      </c>
      <c r="C169" s="2" t="s">
        <v>13</v>
      </c>
    </row>
    <row r="170" spans="1:3">
      <c r="A170" s="1" t="s">
        <v>278</v>
      </c>
      <c r="B170" s="1" t="s">
        <v>124</v>
      </c>
      <c r="C170" s="1" t="s">
        <v>81</v>
      </c>
    </row>
    <row r="171" spans="1:3">
      <c r="A171" s="1" t="s">
        <v>279</v>
      </c>
      <c r="B171" s="1" t="s">
        <v>126</v>
      </c>
      <c r="C171" s="1" t="s">
        <v>12</v>
      </c>
    </row>
    <row r="172" spans="1:3">
      <c r="A172" s="1" t="s">
        <v>280</v>
      </c>
      <c r="B172" s="1" t="s">
        <v>128</v>
      </c>
      <c r="C172" s="1" t="s">
        <v>81</v>
      </c>
    </row>
    <row r="173" spans="1:3">
      <c r="A173" s="1" t="s">
        <v>281</v>
      </c>
      <c r="B173" s="1" t="s">
        <v>124</v>
      </c>
      <c r="C173" s="2" t="s">
        <v>89</v>
      </c>
    </row>
    <row r="174" spans="1:3">
      <c r="A174" s="1" t="s">
        <v>282</v>
      </c>
      <c r="B174" s="1" t="s">
        <v>124</v>
      </c>
      <c r="C174" s="1" t="s">
        <v>82</v>
      </c>
    </row>
    <row r="175" spans="1:3">
      <c r="A175" s="1" t="s">
        <v>283</v>
      </c>
      <c r="B175" s="1" t="s">
        <v>124</v>
      </c>
      <c r="C175" s="1" t="s">
        <v>82</v>
      </c>
    </row>
    <row r="176" spans="1:3">
      <c r="A176" s="1" t="s">
        <v>284</v>
      </c>
      <c r="B176" s="1" t="s">
        <v>128</v>
      </c>
      <c r="C176" s="2" t="s">
        <v>89</v>
      </c>
    </row>
    <row r="177" spans="1:3">
      <c r="A177" s="1" t="s">
        <v>285</v>
      </c>
      <c r="B177" s="1" t="s">
        <v>124</v>
      </c>
      <c r="C177" s="1" t="s">
        <v>81</v>
      </c>
    </row>
    <row r="178" spans="1:3">
      <c r="A178" s="1" t="s">
        <v>286</v>
      </c>
      <c r="B178" s="1" t="s">
        <v>124</v>
      </c>
      <c r="C178" s="1" t="s">
        <v>287</v>
      </c>
    </row>
    <row r="179" spans="1:3">
      <c r="A179" s="1" t="s">
        <v>288</v>
      </c>
      <c r="B179" s="1" t="s">
        <v>124</v>
      </c>
      <c r="C179" s="1" t="s">
        <v>289</v>
      </c>
    </row>
    <row r="180" spans="1:3">
      <c r="A180" s="1" t="s">
        <v>290</v>
      </c>
      <c r="B180" s="1" t="s">
        <v>128</v>
      </c>
      <c r="C180" s="1" t="s">
        <v>82</v>
      </c>
    </row>
    <row r="181" spans="1:3">
      <c r="A181" s="1" t="s">
        <v>291</v>
      </c>
      <c r="B181" s="1" t="s">
        <v>128</v>
      </c>
      <c r="C181" s="1" t="s">
        <v>12</v>
      </c>
    </row>
    <row r="182" spans="1:3">
      <c r="A182" s="1" t="s">
        <v>292</v>
      </c>
      <c r="B182" s="1" t="s">
        <v>293</v>
      </c>
      <c r="C182" s="1" t="s">
        <v>124</v>
      </c>
    </row>
    <row r="183" spans="1:3">
      <c r="A183" s="1" t="s">
        <v>294</v>
      </c>
      <c r="B183" s="1" t="s">
        <v>124</v>
      </c>
      <c r="C183" s="1" t="s">
        <v>81</v>
      </c>
    </row>
    <row r="184" spans="1:3">
      <c r="A184" s="1" t="s">
        <v>295</v>
      </c>
      <c r="B184" s="1" t="s">
        <v>253</v>
      </c>
      <c r="C184" s="1" t="s">
        <v>87</v>
      </c>
    </row>
    <row r="185" spans="1:3">
      <c r="A185" s="1" t="s">
        <v>296</v>
      </c>
      <c r="B185" s="1" t="s">
        <v>124</v>
      </c>
      <c r="C185" s="1" t="s">
        <v>15</v>
      </c>
    </row>
    <row r="186" spans="1:3">
      <c r="A186" s="1" t="s">
        <v>297</v>
      </c>
      <c r="B186" s="1" t="s">
        <v>126</v>
      </c>
      <c r="C186" s="1" t="s">
        <v>298</v>
      </c>
    </row>
    <row r="187" spans="1:3">
      <c r="A187" s="1" t="s">
        <v>299</v>
      </c>
      <c r="B187" s="1" t="s">
        <v>128</v>
      </c>
      <c r="C187" s="1" t="s">
        <v>82</v>
      </c>
    </row>
    <row r="188" spans="1:3">
      <c r="A188" s="1" t="s">
        <v>300</v>
      </c>
      <c r="B188" s="1" t="s">
        <v>124</v>
      </c>
      <c r="C188" s="1" t="s">
        <v>124</v>
      </c>
    </row>
    <row r="189" spans="1:3">
      <c r="A189" s="1" t="s">
        <v>301</v>
      </c>
      <c r="B189" s="1" t="s">
        <v>124</v>
      </c>
      <c r="C189" s="1" t="s">
        <v>124</v>
      </c>
    </row>
    <row r="190" spans="1:3">
      <c r="A190" s="1" t="s">
        <v>302</v>
      </c>
      <c r="B190" s="1" t="s">
        <v>124</v>
      </c>
      <c r="C190" s="2" t="s">
        <v>85</v>
      </c>
    </row>
    <row r="191" spans="1:3">
      <c r="A191" s="1" t="s">
        <v>303</v>
      </c>
      <c r="B191" s="1" t="s">
        <v>124</v>
      </c>
      <c r="C191" s="2" t="s">
        <v>89</v>
      </c>
    </row>
    <row r="192" spans="1:3">
      <c r="A192" s="1" t="s">
        <v>304</v>
      </c>
      <c r="B192" s="1" t="s">
        <v>128</v>
      </c>
      <c r="C192" s="1" t="s">
        <v>12</v>
      </c>
    </row>
    <row r="193" spans="1:3">
      <c r="A193" s="1" t="s">
        <v>305</v>
      </c>
      <c r="B193" s="1" t="s">
        <v>124</v>
      </c>
      <c r="C193" s="1" t="s">
        <v>82</v>
      </c>
    </row>
    <row r="194" spans="1:3">
      <c r="A194" s="1" t="s">
        <v>309</v>
      </c>
      <c r="B194" s="1" t="s">
        <v>124</v>
      </c>
      <c r="C194" s="2" t="s">
        <v>89</v>
      </c>
    </row>
    <row r="195" spans="1:3">
      <c r="A195" s="1" t="s">
        <v>310</v>
      </c>
      <c r="B195" s="1" t="s">
        <v>124</v>
      </c>
      <c r="C195" s="2" t="s">
        <v>268</v>
      </c>
    </row>
    <row r="196" spans="1:3">
      <c r="A196" s="1" t="s">
        <v>311</v>
      </c>
      <c r="B196" s="1" t="s">
        <v>124</v>
      </c>
      <c r="C196" s="1" t="s">
        <v>82</v>
      </c>
    </row>
    <row r="197" spans="1:3">
      <c r="A197" s="1" t="s">
        <v>312</v>
      </c>
      <c r="B197" s="1" t="s">
        <v>124</v>
      </c>
      <c r="C197" s="2" t="s">
        <v>15</v>
      </c>
    </row>
    <row r="198" spans="1:3">
      <c r="A198" s="1" t="s">
        <v>313</v>
      </c>
      <c r="B198" s="1" t="s">
        <v>128</v>
      </c>
      <c r="C198" s="1" t="s">
        <v>12</v>
      </c>
    </row>
    <row r="199" spans="1:3">
      <c r="A199" s="1" t="s">
        <v>314</v>
      </c>
      <c r="B199" s="1" t="s">
        <v>124</v>
      </c>
      <c r="C199" s="1" t="s">
        <v>81</v>
      </c>
    </row>
    <row r="200" spans="1:3">
      <c r="A200" s="1" t="s">
        <v>315</v>
      </c>
      <c r="B200" s="1" t="s">
        <v>124</v>
      </c>
      <c r="C200" s="2" t="s">
        <v>89</v>
      </c>
    </row>
    <row r="201" spans="1:3">
      <c r="A201" s="1" t="s">
        <v>316</v>
      </c>
      <c r="B201" s="1" t="s">
        <v>124</v>
      </c>
      <c r="C201" s="2" t="s">
        <v>89</v>
      </c>
    </row>
    <row r="202" spans="1:3">
      <c r="A202" s="1" t="s">
        <v>317</v>
      </c>
      <c r="B202" s="1" t="s">
        <v>124</v>
      </c>
      <c r="C202" s="2" t="s">
        <v>89</v>
      </c>
    </row>
    <row r="203" spans="1:3">
      <c r="A203" s="1" t="s">
        <v>318</v>
      </c>
      <c r="B203" s="1" t="s">
        <v>124</v>
      </c>
      <c r="C203" s="2" t="s">
        <v>89</v>
      </c>
    </row>
    <row r="204" spans="1:3">
      <c r="A204" s="1" t="s">
        <v>319</v>
      </c>
      <c r="B204" s="1" t="s">
        <v>126</v>
      </c>
      <c r="C204" s="1" t="s">
        <v>15</v>
      </c>
    </row>
    <row r="205" spans="1:3">
      <c r="A205" s="1" t="s">
        <v>320</v>
      </c>
      <c r="B205" s="1" t="s">
        <v>126</v>
      </c>
      <c r="C205" s="1" t="s">
        <v>321</v>
      </c>
    </row>
    <row r="206" spans="1:3">
      <c r="A206" s="1" t="s">
        <v>322</v>
      </c>
      <c r="B206" s="1" t="s">
        <v>124</v>
      </c>
      <c r="C206" s="2" t="s">
        <v>89</v>
      </c>
    </row>
    <row r="207" spans="1:3">
      <c r="A207" s="1" t="s">
        <v>323</v>
      </c>
      <c r="B207" s="1" t="s">
        <v>128</v>
      </c>
      <c r="C207" s="2" t="s">
        <v>89</v>
      </c>
    </row>
    <row r="208" spans="1:3">
      <c r="A208" s="1" t="s">
        <v>324</v>
      </c>
      <c r="B208" s="1" t="s">
        <v>124</v>
      </c>
      <c r="C208" s="2" t="s">
        <v>85</v>
      </c>
    </row>
    <row r="209" spans="1:3">
      <c r="A209" s="1" t="s">
        <v>329</v>
      </c>
      <c r="B209" s="1" t="s">
        <v>124</v>
      </c>
      <c r="C209" s="1" t="s">
        <v>153</v>
      </c>
    </row>
    <row r="210" spans="1:3">
      <c r="A210" s="1" t="s">
        <v>330</v>
      </c>
      <c r="B210" s="1" t="s">
        <v>124</v>
      </c>
      <c r="C210" s="2" t="s">
        <v>89</v>
      </c>
    </row>
    <row r="211" spans="1:3">
      <c r="A211" s="1" t="s">
        <v>331</v>
      </c>
      <c r="B211" s="1" t="s">
        <v>128</v>
      </c>
      <c r="C211" s="1" t="s">
        <v>15</v>
      </c>
    </row>
    <row r="212" spans="1:3">
      <c r="A212" s="1" t="s">
        <v>332</v>
      </c>
      <c r="B212" s="1" t="s">
        <v>128</v>
      </c>
      <c r="C212" s="2" t="s">
        <v>89</v>
      </c>
    </row>
    <row r="213" spans="1:3">
      <c r="A213" s="1" t="s">
        <v>333</v>
      </c>
      <c r="B213" s="1" t="s">
        <v>124</v>
      </c>
      <c r="C213" s="1" t="s">
        <v>81</v>
      </c>
    </row>
    <row r="214" spans="1:3">
      <c r="A214" s="1" t="s">
        <v>334</v>
      </c>
      <c r="B214" s="1" t="s">
        <v>124</v>
      </c>
      <c r="C214" s="2" t="s">
        <v>89</v>
      </c>
    </row>
    <row r="215" spans="1:3">
      <c r="A215" s="1" t="s">
        <v>335</v>
      </c>
      <c r="B215" s="1" t="s">
        <v>124</v>
      </c>
      <c r="C215" s="2" t="s">
        <v>89</v>
      </c>
    </row>
    <row r="216" spans="1:3">
      <c r="A216" s="1" t="s">
        <v>336</v>
      </c>
      <c r="B216" s="1" t="s">
        <v>124</v>
      </c>
      <c r="C216" s="1" t="s">
        <v>81</v>
      </c>
    </row>
    <row r="217" spans="1:3">
      <c r="A217" s="1" t="s">
        <v>337</v>
      </c>
      <c r="B217" s="1" t="s">
        <v>124</v>
      </c>
      <c r="C217" s="1" t="s">
        <v>12</v>
      </c>
    </row>
    <row r="218" spans="1:3">
      <c r="A218" s="1" t="s">
        <v>338</v>
      </c>
      <c r="B218" s="1" t="s">
        <v>253</v>
      </c>
      <c r="C218" s="1" t="s">
        <v>82</v>
      </c>
    </row>
    <row r="219" spans="1:3">
      <c r="A219" s="1" t="s">
        <v>339</v>
      </c>
      <c r="B219" s="1" t="s">
        <v>253</v>
      </c>
      <c r="C219" s="1" t="s">
        <v>340</v>
      </c>
    </row>
    <row r="220" spans="1:3">
      <c r="A220" s="1" t="s">
        <v>341</v>
      </c>
      <c r="B220" s="1" t="s">
        <v>124</v>
      </c>
      <c r="C220" s="2" t="s">
        <v>89</v>
      </c>
    </row>
    <row r="221" spans="1:3">
      <c r="A221" s="1" t="s">
        <v>342</v>
      </c>
      <c r="B221" s="1" t="s">
        <v>124</v>
      </c>
      <c r="C221" s="1" t="s">
        <v>153</v>
      </c>
    </row>
    <row r="222" spans="1:3">
      <c r="A222" s="1" t="s">
        <v>343</v>
      </c>
      <c r="B222" s="1" t="s">
        <v>124</v>
      </c>
      <c r="C222" s="1" t="s">
        <v>15</v>
      </c>
    </row>
    <row r="223" spans="1:3">
      <c r="A223" s="1" t="s">
        <v>344</v>
      </c>
      <c r="B223" s="1" t="s">
        <v>124</v>
      </c>
      <c r="C223" s="1" t="s">
        <v>81</v>
      </c>
    </row>
    <row r="224" spans="1:3">
      <c r="A224" s="1" t="s">
        <v>345</v>
      </c>
      <c r="B224" s="1" t="s">
        <v>124</v>
      </c>
      <c r="C224" s="1" t="s">
        <v>340</v>
      </c>
    </row>
    <row r="225" spans="1:3">
      <c r="A225" s="1" t="s">
        <v>346</v>
      </c>
      <c r="B225" s="1" t="s">
        <v>124</v>
      </c>
      <c r="C225" s="2" t="s">
        <v>85</v>
      </c>
    </row>
    <row r="226" spans="1:3">
      <c r="A226" s="1" t="s">
        <v>347</v>
      </c>
      <c r="B226" s="1" t="s">
        <v>124</v>
      </c>
      <c r="C226" s="1" t="s">
        <v>81</v>
      </c>
    </row>
    <row r="227" spans="1:3">
      <c r="A227" s="1" t="s">
        <v>348</v>
      </c>
      <c r="B227" s="1" t="s">
        <v>124</v>
      </c>
      <c r="C227" s="2" t="s">
        <v>350</v>
      </c>
    </row>
    <row r="228" spans="1:3">
      <c r="A228" s="1" t="s">
        <v>349</v>
      </c>
      <c r="B228" s="1" t="s">
        <v>124</v>
      </c>
      <c r="C228" s="2" t="s">
        <v>85</v>
      </c>
    </row>
    <row r="229" spans="1:3">
      <c r="A229" s="1" t="s">
        <v>351</v>
      </c>
      <c r="B229" s="1" t="s">
        <v>124</v>
      </c>
      <c r="C229" s="1" t="s">
        <v>340</v>
      </c>
    </row>
    <row r="230" spans="1:3">
      <c r="A230" s="1" t="s">
        <v>352</v>
      </c>
      <c r="B230" s="1" t="s">
        <v>124</v>
      </c>
      <c r="C230" s="1" t="s">
        <v>340</v>
      </c>
    </row>
    <row r="231" spans="1:3">
      <c r="A231" s="1" t="s">
        <v>353</v>
      </c>
      <c r="B231" s="1" t="s">
        <v>124</v>
      </c>
      <c r="C231" s="1" t="s">
        <v>15</v>
      </c>
    </row>
    <row r="232" spans="1:3">
      <c r="A232" s="1" t="s">
        <v>354</v>
      </c>
      <c r="B232" s="1" t="s">
        <v>124</v>
      </c>
      <c r="C232" s="1" t="s">
        <v>82</v>
      </c>
    </row>
    <row r="233" spans="1:3">
      <c r="A233" s="1" t="s">
        <v>355</v>
      </c>
      <c r="B233" s="1" t="s">
        <v>124</v>
      </c>
      <c r="C233" s="1" t="s">
        <v>15</v>
      </c>
    </row>
    <row r="234" spans="1:3">
      <c r="A234" s="1" t="s">
        <v>356</v>
      </c>
      <c r="B234" s="1" t="s">
        <v>124</v>
      </c>
      <c r="C234" s="1" t="s">
        <v>15</v>
      </c>
    </row>
    <row r="235" spans="1:3">
      <c r="A235" s="1" t="s">
        <v>357</v>
      </c>
      <c r="B235" s="1" t="s">
        <v>124</v>
      </c>
      <c r="C235" s="1" t="s">
        <v>15</v>
      </c>
    </row>
    <row r="236" spans="1:3">
      <c r="A236" s="1" t="s">
        <v>358</v>
      </c>
      <c r="B236" s="1" t="s">
        <v>124</v>
      </c>
      <c r="C236" s="1" t="s">
        <v>15</v>
      </c>
    </row>
    <row r="237" spans="1:3">
      <c r="A237" s="1" t="s">
        <v>359</v>
      </c>
      <c r="B237" s="1" t="s">
        <v>124</v>
      </c>
      <c r="C237" s="1" t="s">
        <v>15</v>
      </c>
    </row>
    <row r="238" spans="1:3">
      <c r="A238" s="1" t="s">
        <v>360</v>
      </c>
      <c r="B238" s="1" t="s">
        <v>124</v>
      </c>
      <c r="C238" s="1" t="s">
        <v>340</v>
      </c>
    </row>
    <row r="239" spans="1:3">
      <c r="A239" s="1" t="s">
        <v>361</v>
      </c>
      <c r="B239" s="1" t="s">
        <v>124</v>
      </c>
      <c r="C239" s="1" t="s">
        <v>81</v>
      </c>
    </row>
    <row r="240" spans="1:3">
      <c r="A240" s="1" t="s">
        <v>362</v>
      </c>
      <c r="B240" s="1" t="s">
        <v>124</v>
      </c>
      <c r="C240" s="1" t="s">
        <v>340</v>
      </c>
    </row>
    <row r="241" spans="1:3">
      <c r="A241" s="39" t="s">
        <v>363</v>
      </c>
      <c r="B241" s="1" t="s">
        <v>124</v>
      </c>
      <c r="C241" s="1" t="s">
        <v>82</v>
      </c>
    </row>
    <row r="242" spans="1:3">
      <c r="A242" s="39" t="s">
        <v>364</v>
      </c>
      <c r="B242" s="1" t="s">
        <v>124</v>
      </c>
      <c r="C242" s="2" t="s">
        <v>89</v>
      </c>
    </row>
    <row r="243" spans="1:3">
      <c r="A243" s="39" t="s">
        <v>365</v>
      </c>
      <c r="B243" s="1" t="s">
        <v>124</v>
      </c>
      <c r="C243" s="1" t="s">
        <v>81</v>
      </c>
    </row>
    <row r="244" spans="1:3">
      <c r="A244" s="39" t="s">
        <v>366</v>
      </c>
      <c r="B244" s="1" t="s">
        <v>124</v>
      </c>
      <c r="C244" s="2" t="s">
        <v>89</v>
      </c>
    </row>
    <row r="245" spans="1:3">
      <c r="A245" s="39" t="s">
        <v>367</v>
      </c>
      <c r="B245" s="1" t="s">
        <v>124</v>
      </c>
      <c r="C245" s="1" t="s">
        <v>340</v>
      </c>
    </row>
    <row r="246" spans="1:3">
      <c r="A246" s="39" t="s">
        <v>416</v>
      </c>
      <c r="B246" s="1" t="s">
        <v>124</v>
      </c>
      <c r="C246" s="1" t="s">
        <v>417</v>
      </c>
    </row>
    <row r="247" spans="1:3">
      <c r="A247" s="39" t="s">
        <v>434</v>
      </c>
      <c r="B247" s="1" t="s">
        <v>124</v>
      </c>
      <c r="C247" s="1" t="s">
        <v>153</v>
      </c>
    </row>
    <row r="248" spans="1:3">
      <c r="A248" s="39" t="s">
        <v>441</v>
      </c>
      <c r="B248" s="1" t="s">
        <v>124</v>
      </c>
      <c r="C248" s="1" t="s">
        <v>340</v>
      </c>
    </row>
    <row r="249" spans="1:3">
      <c r="A249" s="39" t="s">
        <v>444</v>
      </c>
      <c r="B249" s="1" t="s">
        <v>124</v>
      </c>
      <c r="C249" s="2" t="s">
        <v>89</v>
      </c>
    </row>
    <row r="250" spans="1:3">
      <c r="A250" s="39" t="s">
        <v>445</v>
      </c>
      <c r="B250" s="1" t="s">
        <v>128</v>
      </c>
      <c r="C250" s="1" t="s">
        <v>81</v>
      </c>
    </row>
    <row r="251" spans="1:3">
      <c r="A251" s="39" t="s">
        <v>453</v>
      </c>
      <c r="B251" s="1" t="s">
        <v>124</v>
      </c>
      <c r="C251" s="2" t="s">
        <v>88</v>
      </c>
    </row>
    <row r="252" spans="1:3">
      <c r="A252" s="43" t="s">
        <v>462</v>
      </c>
      <c r="B252" s="1" t="s">
        <v>124</v>
      </c>
      <c r="C252" s="2" t="s">
        <v>88</v>
      </c>
    </row>
    <row r="253" spans="1:3">
      <c r="A253" s="39" t="s">
        <v>463</v>
      </c>
      <c r="B253" s="1" t="s">
        <v>124</v>
      </c>
      <c r="C253" s="1" t="s">
        <v>340</v>
      </c>
    </row>
    <row r="254" spans="1:3">
      <c r="A254" s="39" t="s">
        <v>464</v>
      </c>
      <c r="B254" s="1" t="s">
        <v>124</v>
      </c>
      <c r="C254" s="1" t="s">
        <v>15</v>
      </c>
    </row>
    <row r="255" spans="1:3">
      <c r="A255" s="39" t="s">
        <v>465</v>
      </c>
      <c r="B255" s="1" t="s">
        <v>124</v>
      </c>
      <c r="C255" s="2" t="s">
        <v>85</v>
      </c>
    </row>
    <row r="256" spans="1:3">
      <c r="A256" s="39" t="s">
        <v>468</v>
      </c>
      <c r="B256" s="1" t="s">
        <v>124</v>
      </c>
      <c r="C256" s="1" t="s">
        <v>15</v>
      </c>
    </row>
    <row r="257" spans="1:3">
      <c r="A257" s="39" t="s">
        <v>474</v>
      </c>
      <c r="B257" s="27" t="s">
        <v>124</v>
      </c>
      <c r="C257" s="2" t="s">
        <v>85</v>
      </c>
    </row>
    <row r="258" spans="1:3">
      <c r="A258" s="39" t="s">
        <v>478</v>
      </c>
      <c r="B258" s="31" t="s">
        <v>124</v>
      </c>
      <c r="C258" s="2" t="s">
        <v>268</v>
      </c>
    </row>
    <row r="259" spans="1:3">
      <c r="A259" s="39" t="s">
        <v>491</v>
      </c>
      <c r="B259" s="37" t="s">
        <v>124</v>
      </c>
      <c r="C259" s="1" t="s">
        <v>492</v>
      </c>
    </row>
    <row r="260" spans="1:3">
      <c r="A260" s="39" t="s">
        <v>493</v>
      </c>
      <c r="B260" s="39" t="s">
        <v>124</v>
      </c>
      <c r="C260" s="40" t="s">
        <v>89</v>
      </c>
    </row>
    <row r="261" spans="1:3">
      <c r="A261" s="39" t="s">
        <v>496</v>
      </c>
      <c r="B261" s="39" t="s">
        <v>124</v>
      </c>
      <c r="C261" s="40" t="s">
        <v>89</v>
      </c>
    </row>
    <row r="262" spans="1:3">
      <c r="A262" s="39" t="s">
        <v>497</v>
      </c>
      <c r="B262" s="39" t="s">
        <v>124</v>
      </c>
      <c r="C262" s="39" t="s">
        <v>340</v>
      </c>
    </row>
    <row r="263" spans="1:3">
      <c r="A263" s="39" t="s">
        <v>498</v>
      </c>
      <c r="B263" s="39" t="s">
        <v>124</v>
      </c>
      <c r="C263" s="39" t="s">
        <v>340</v>
      </c>
    </row>
    <row r="264" spans="1:3">
      <c r="A264" s="39" t="s">
        <v>499</v>
      </c>
      <c r="B264" s="39" t="s">
        <v>124</v>
      </c>
      <c r="C264" s="39" t="s">
        <v>82</v>
      </c>
    </row>
    <row r="265" spans="1:3">
      <c r="A265" s="41" t="s">
        <v>501</v>
      </c>
      <c r="B265" s="41" t="s">
        <v>502</v>
      </c>
      <c r="C265" s="39" t="s">
        <v>503</v>
      </c>
    </row>
    <row r="266" spans="1:3">
      <c r="A266" s="39" t="s">
        <v>504</v>
      </c>
      <c r="B266" s="39" t="s">
        <v>124</v>
      </c>
      <c r="C266" s="42" t="s">
        <v>81</v>
      </c>
    </row>
    <row r="267" spans="1:3">
      <c r="A267" s="41" t="s">
        <v>505</v>
      </c>
      <c r="B267" s="1" t="s">
        <v>506</v>
      </c>
      <c r="C267" s="1" t="s">
        <v>507</v>
      </c>
    </row>
    <row r="268" spans="1:3">
      <c r="A268" s="1" t="s">
        <v>508</v>
      </c>
      <c r="B268" s="44" t="s">
        <v>125</v>
      </c>
      <c r="C268" s="39" t="s">
        <v>340</v>
      </c>
    </row>
    <row r="269" spans="1:3">
      <c r="A269" s="45" t="s">
        <v>509</v>
      </c>
      <c r="B269" s="45" t="s">
        <v>125</v>
      </c>
      <c r="C269" s="1" t="s">
        <v>510</v>
      </c>
    </row>
    <row r="270" spans="1:3">
      <c r="A270" s="46" t="s">
        <v>511</v>
      </c>
      <c r="B270" s="46" t="s">
        <v>125</v>
      </c>
      <c r="C270" s="39" t="s">
        <v>340</v>
      </c>
    </row>
    <row r="271" spans="1:3">
      <c r="A271" s="1" t="s">
        <v>576</v>
      </c>
      <c r="B271" s="47" t="s">
        <v>125</v>
      </c>
      <c r="C271" s="40" t="s">
        <v>89</v>
      </c>
    </row>
    <row r="272" spans="1:3">
      <c r="A272" s="1" t="s">
        <v>577</v>
      </c>
      <c r="B272" s="47" t="s">
        <v>125</v>
      </c>
      <c r="C272" s="39" t="s">
        <v>340</v>
      </c>
    </row>
    <row r="273" spans="1:3">
      <c r="A273" s="50" t="s">
        <v>704</v>
      </c>
      <c r="B273" s="49" t="s">
        <v>125</v>
      </c>
      <c r="C273" s="1" t="s">
        <v>705</v>
      </c>
    </row>
    <row r="274" spans="1:3">
      <c r="A274" s="50" t="s">
        <v>803</v>
      </c>
      <c r="B274" s="1" t="s">
        <v>802</v>
      </c>
      <c r="C274" s="51" t="s">
        <v>81</v>
      </c>
    </row>
    <row r="275" spans="1:3">
      <c r="A275" s="54" t="s">
        <v>918</v>
      </c>
      <c r="B275" s="53" t="s">
        <v>127</v>
      </c>
      <c r="C275" s="1" t="s">
        <v>920</v>
      </c>
    </row>
    <row r="276" spans="1:3">
      <c r="A276" s="54" t="s">
        <v>919</v>
      </c>
      <c r="B276" s="53" t="s">
        <v>127</v>
      </c>
      <c r="C276" s="1" t="s">
        <v>921</v>
      </c>
    </row>
    <row r="277" spans="1:3">
      <c r="A277" s="1" t="s">
        <v>1070</v>
      </c>
      <c r="B277" s="53" t="s">
        <v>127</v>
      </c>
      <c r="C277" s="1" t="s">
        <v>1072</v>
      </c>
    </row>
    <row r="278" spans="1:3">
      <c r="A278" s="53" t="s">
        <v>1071</v>
      </c>
      <c r="B278" s="53" t="s">
        <v>127</v>
      </c>
      <c r="C278" s="1" t="s">
        <v>1073</v>
      </c>
    </row>
    <row r="279" spans="1:3">
      <c r="A279" s="50" t="s">
        <v>1115</v>
      </c>
      <c r="B279" s="53" t="s">
        <v>125</v>
      </c>
      <c r="C279" s="1" t="s">
        <v>1116</v>
      </c>
    </row>
    <row r="280" spans="1:3">
      <c r="A280" s="53"/>
    </row>
    <row r="281" spans="1:3">
      <c r="A281" s="53"/>
    </row>
    <row r="282" spans="1:3">
      <c r="A282" s="53"/>
    </row>
    <row r="283" spans="1:3">
      <c r="A283" s="53"/>
    </row>
    <row r="284" spans="1:3">
      <c r="A284" s="53"/>
    </row>
    <row r="285" spans="1:3">
      <c r="A285" s="53"/>
    </row>
  </sheetData>
  <autoFilter ref="A1:G256"/>
  <sortState ref="G2:G109">
    <sortCondition ref="G2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塗裝各項不良率-明細</vt:lpstr>
      <vt:lpstr>工作表6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2026-05-21T09:58:10Z</dcterms:modified>
</cp:coreProperties>
</file>